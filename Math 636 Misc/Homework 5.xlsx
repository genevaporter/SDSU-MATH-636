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1" sheetId="1" r:id="rId3"/>
    <sheet state="visible" name="problem 3" sheetId="2" r:id="rId4"/>
    <sheet state="visible" name="problem 5" sheetId="3" r:id="rId5"/>
    <sheet state="visible" name="7" sheetId="4" r:id="rId6"/>
  </sheets>
  <definedNames/>
  <calcPr/>
</workbook>
</file>

<file path=xl/sharedStrings.xml><?xml version="1.0" encoding="utf-8"?>
<sst xmlns="http://schemas.openxmlformats.org/spreadsheetml/2006/main" count="34" uniqueCount="25">
  <si>
    <t>t</t>
  </si>
  <si>
    <t>ppb</t>
  </si>
  <si>
    <t>tn</t>
  </si>
  <si>
    <t>year</t>
  </si>
  <si>
    <t>Age (yr)</t>
  </si>
  <si>
    <t>population</t>
  </si>
  <si>
    <t>Length (m)</t>
  </si>
  <si>
    <t>model</t>
  </si>
  <si>
    <t>sse</t>
  </si>
  <si>
    <t>Weight (kg)</t>
  </si>
  <si>
    <t>log(L)</t>
  </si>
  <si>
    <t>log(W)</t>
  </si>
  <si>
    <t>SSE</t>
  </si>
  <si>
    <t>%error</t>
  </si>
  <si>
    <t>r</t>
  </si>
  <si>
    <t>double kenya</t>
  </si>
  <si>
    <t>double canada</t>
  </si>
  <si>
    <t>equal</t>
  </si>
  <si>
    <t>N</t>
  </si>
  <si>
    <t>t (days)</t>
  </si>
  <si>
    <t>Rhizopertha</t>
  </si>
  <si>
    <t>Oryzaephilus</t>
  </si>
  <si>
    <t>Rhizo</t>
  </si>
  <si>
    <t>Oryz</t>
  </si>
  <si>
    <t>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</si>
</sst>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4">
    <font>
      <sz val="10.0"/>
      <color rgb="FF000000"/>
      <name val="Arial"/>
    </font>
    <font/>
    <font>
      <sz val="11.0"/>
      <color rgb="FF000000"/>
      <name val="&quot;Helvetica Neue&quot;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3</v>
      </c>
      <c r="B1" s="1" t="s">
        <v>0</v>
      </c>
      <c r="C1" s="1" t="s">
        <v>5</v>
      </c>
      <c r="D1" s="1" t="s">
        <v>3</v>
      </c>
      <c r="E1" s="1" t="s">
        <v>5</v>
      </c>
    </row>
    <row r="2">
      <c r="A2" s="1">
        <v>1980.0</v>
      </c>
      <c r="B2" s="1">
        <v>0.0</v>
      </c>
      <c r="C2" s="1">
        <v>24.0</v>
      </c>
      <c r="D2" s="1">
        <v>1980.0</v>
      </c>
      <c r="E2" s="1">
        <v>16.6</v>
      </c>
    </row>
    <row r="3">
      <c r="A3" s="1">
        <v>1990.0</v>
      </c>
      <c r="B3" s="1">
        <v>10.0</v>
      </c>
      <c r="C3" s="1">
        <f>B3*0.25+24</f>
        <v>26.5</v>
      </c>
      <c r="D3" s="1">
        <v>1990.0</v>
      </c>
      <c r="E3" s="1">
        <v>24.3</v>
      </c>
    </row>
    <row r="5">
      <c r="A5" s="1" t="s">
        <v>14</v>
      </c>
      <c r="B5" s="1">
        <v>0.0</v>
      </c>
      <c r="C5">
        <f t="shared" ref="C5:C19" si="1">24*(26.5/24)^(B5/10)</f>
        <v>24</v>
      </c>
      <c r="E5">
        <f t="shared" ref="E5:E19" si="2">16.6*(24.3/16.6)^(B5/10)</f>
        <v>16.6</v>
      </c>
    </row>
    <row r="6">
      <c r="A6" s="1">
        <f>LOG(26.5/24)/10</f>
        <v>0.004303463223</v>
      </c>
      <c r="B6" s="1">
        <v>1.0</v>
      </c>
      <c r="C6">
        <f t="shared" si="1"/>
        <v>24.23900035</v>
      </c>
      <c r="E6">
        <f t="shared" si="2"/>
        <v>17.24478986</v>
      </c>
    </row>
    <row r="7">
      <c r="B7" s="1">
        <v>2.0</v>
      </c>
      <c r="C7">
        <f t="shared" si="1"/>
        <v>24.48038075</v>
      </c>
      <c r="E7">
        <f t="shared" si="2"/>
        <v>17.91462514</v>
      </c>
    </row>
    <row r="8">
      <c r="B8" s="1">
        <v>3.0</v>
      </c>
      <c r="C8">
        <f t="shared" si="1"/>
        <v>24.72416489</v>
      </c>
      <c r="E8">
        <f t="shared" si="2"/>
        <v>18.61047868</v>
      </c>
    </row>
    <row r="9">
      <c r="B9" s="1">
        <v>4.0</v>
      </c>
      <c r="C9">
        <f t="shared" si="1"/>
        <v>24.97037673</v>
      </c>
      <c r="E9">
        <f t="shared" si="2"/>
        <v>19.33336109</v>
      </c>
    </row>
    <row r="10">
      <c r="B10" s="1">
        <v>5.0</v>
      </c>
      <c r="C10">
        <f t="shared" si="1"/>
        <v>25.21904043</v>
      </c>
      <c r="E10">
        <f t="shared" si="2"/>
        <v>20.08432224</v>
      </c>
    </row>
    <row r="11">
      <c r="B11" s="1">
        <v>6.0</v>
      </c>
      <c r="C11">
        <f t="shared" si="1"/>
        <v>25.4701804</v>
      </c>
      <c r="E11">
        <f t="shared" si="2"/>
        <v>20.86445281</v>
      </c>
    </row>
    <row r="12">
      <c r="B12" s="1">
        <v>7.0</v>
      </c>
      <c r="C12">
        <f t="shared" si="1"/>
        <v>25.72382132</v>
      </c>
      <c r="E12">
        <f t="shared" si="2"/>
        <v>21.6748858</v>
      </c>
    </row>
    <row r="13">
      <c r="A13" s="1" t="s">
        <v>15</v>
      </c>
      <c r="B13" s="1">
        <v>8.0</v>
      </c>
      <c r="C13">
        <f t="shared" si="1"/>
        <v>25.97998808</v>
      </c>
      <c r="E13">
        <f t="shared" si="2"/>
        <v>22.51679825</v>
      </c>
    </row>
    <row r="14">
      <c r="A14">
        <f>10*ln(2)/ln(24.3/16.6)</f>
        <v>18.18932302</v>
      </c>
      <c r="B14" s="1">
        <v>9.0</v>
      </c>
      <c r="C14">
        <f t="shared" si="1"/>
        <v>26.23870584</v>
      </c>
      <c r="E14">
        <f t="shared" si="2"/>
        <v>23.3914129</v>
      </c>
    </row>
    <row r="15">
      <c r="B15" s="1">
        <v>10.0</v>
      </c>
      <c r="C15">
        <f t="shared" si="1"/>
        <v>26.5</v>
      </c>
      <c r="E15">
        <f t="shared" si="2"/>
        <v>24.3</v>
      </c>
    </row>
    <row r="16">
      <c r="A16" s="1" t="s">
        <v>16</v>
      </c>
      <c r="B16" s="1">
        <v>11.0</v>
      </c>
      <c r="C16">
        <f t="shared" si="1"/>
        <v>26.76389622</v>
      </c>
      <c r="E16">
        <f t="shared" si="2"/>
        <v>25.24387914</v>
      </c>
    </row>
    <row r="17">
      <c r="A17">
        <f>10*log(2)/log(26.5/24)</f>
        <v>69.95063745</v>
      </c>
      <c r="B17" s="1">
        <v>12.0</v>
      </c>
      <c r="C17">
        <f t="shared" si="1"/>
        <v>27.03042041</v>
      </c>
      <c r="E17">
        <f t="shared" si="2"/>
        <v>26.22442114</v>
      </c>
    </row>
    <row r="18">
      <c r="B18" s="1">
        <v>13.0</v>
      </c>
      <c r="C18">
        <f t="shared" si="1"/>
        <v>27.29959874</v>
      </c>
      <c r="E18">
        <f t="shared" si="2"/>
        <v>27.24305011</v>
      </c>
    </row>
    <row r="19">
      <c r="A19" s="1" t="s">
        <v>17</v>
      </c>
      <c r="B19" s="1">
        <v>14.0</v>
      </c>
      <c r="C19">
        <f t="shared" si="1"/>
        <v>27.57145764</v>
      </c>
      <c r="E19">
        <f t="shared" si="2"/>
        <v>28.30124545</v>
      </c>
    </row>
    <row r="20">
      <c r="A20">
        <f>10*log(16.6/24)/log(26.5/24*16.6/24.3)</f>
        <v>13.07353489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F1">
        <f>13829*4.5/14000+1539/28000</f>
        <v>4.5</v>
      </c>
    </row>
    <row r="2">
      <c r="A2" s="1">
        <v>0.0</v>
      </c>
      <c r="B2" s="1">
        <v>2.8</v>
      </c>
      <c r="C2" s="1">
        <v>0.0</v>
      </c>
      <c r="D2" s="3">
        <v>4.5</v>
      </c>
    </row>
    <row r="3">
      <c r="A3" s="1">
        <v>1.0</v>
      </c>
      <c r="B3" s="1">
        <v>3.2</v>
      </c>
      <c r="C3" s="1">
        <v>0.25</v>
      </c>
      <c r="D3" s="3">
        <f t="shared" ref="D3:D42" si="1">(13829*D2)/14000 + (1539*EXP(-C2/10))/28000</f>
        <v>4.5</v>
      </c>
    </row>
    <row r="4">
      <c r="A4" s="1">
        <v>2.0</v>
      </c>
      <c r="B4" s="1">
        <v>3.5</v>
      </c>
      <c r="C4" s="1">
        <v>0.5</v>
      </c>
      <c r="D4" s="3">
        <f t="shared" si="1"/>
        <v>4.498642927</v>
      </c>
    </row>
    <row r="5">
      <c r="A5" s="1">
        <v>3.0</v>
      </c>
      <c r="B5" s="1">
        <v>3.8</v>
      </c>
      <c r="C5" s="1">
        <v>0.75</v>
      </c>
      <c r="D5" s="3">
        <f t="shared" si="1"/>
        <v>4.495978863</v>
      </c>
    </row>
    <row r="6">
      <c r="A6" s="1">
        <v>4.0</v>
      </c>
      <c r="B6" s="1">
        <v>4.2</v>
      </c>
      <c r="C6" s="1">
        <v>1.0</v>
      </c>
      <c r="D6" s="3">
        <f t="shared" si="1"/>
        <v>4.49205645</v>
      </c>
      <c r="E6" s="1">
        <v>4.4895</v>
      </c>
      <c r="F6">
        <f>(D6-E6)/E6*100</f>
        <v>0.05694287647</v>
      </c>
    </row>
    <row r="7">
      <c r="A7" s="1">
        <v>5.0</v>
      </c>
      <c r="B7" s="1">
        <v>4.5</v>
      </c>
      <c r="C7" s="1">
        <v>1.25</v>
      </c>
      <c r="D7" s="3">
        <f t="shared" si="1"/>
        <v>4.486922932</v>
      </c>
    </row>
    <row r="8">
      <c r="C8" s="1">
        <v>1.5</v>
      </c>
      <c r="D8" s="3">
        <f t="shared" si="1"/>
        <v>4.480624185</v>
      </c>
    </row>
    <row r="9">
      <c r="C9" s="1">
        <v>1.75</v>
      </c>
      <c r="D9" s="3">
        <f t="shared" si="1"/>
        <v>4.47320476</v>
      </c>
    </row>
    <row r="10">
      <c r="C10" s="1">
        <v>2.0</v>
      </c>
      <c r="D10" s="3">
        <f t="shared" si="1"/>
        <v>4.464707915</v>
      </c>
    </row>
    <row r="11">
      <c r="C11" s="1">
        <v>2.25</v>
      </c>
      <c r="D11" s="3">
        <f t="shared" si="1"/>
        <v>4.455175648</v>
      </c>
    </row>
    <row r="12">
      <c r="C12" s="1">
        <v>2.5</v>
      </c>
      <c r="D12" s="3">
        <f t="shared" si="1"/>
        <v>4.444648733</v>
      </c>
    </row>
    <row r="13">
      <c r="C13" s="1">
        <v>2.75</v>
      </c>
      <c r="D13" s="3">
        <f t="shared" si="1"/>
        <v>4.433166752</v>
      </c>
    </row>
    <row r="14">
      <c r="C14" s="1">
        <v>3.0</v>
      </c>
      <c r="D14" s="3">
        <f t="shared" si="1"/>
        <v>4.420768126</v>
      </c>
    </row>
    <row r="15">
      <c r="C15" s="1">
        <v>3.25</v>
      </c>
      <c r="D15" s="3">
        <f t="shared" si="1"/>
        <v>4.407490146</v>
      </c>
    </row>
    <row r="16">
      <c r="C16" s="1">
        <v>3.5</v>
      </c>
      <c r="D16" s="3">
        <f t="shared" si="1"/>
        <v>4.393369002</v>
      </c>
    </row>
    <row r="17">
      <c r="C17" s="1">
        <v>3.75</v>
      </c>
      <c r="D17" s="3">
        <f t="shared" si="1"/>
        <v>4.378439815</v>
      </c>
    </row>
    <row r="18">
      <c r="C18" s="1">
        <v>4.0</v>
      </c>
      <c r="D18" s="3">
        <f t="shared" si="1"/>
        <v>4.362736664</v>
      </c>
    </row>
    <row r="19">
      <c r="C19" s="1">
        <v>4.25</v>
      </c>
      <c r="D19" s="3">
        <f t="shared" si="1"/>
        <v>4.346292615</v>
      </c>
    </row>
    <row r="20">
      <c r="C20" s="1">
        <v>4.5</v>
      </c>
      <c r="D20" s="3">
        <f t="shared" si="1"/>
        <v>4.329139744</v>
      </c>
    </row>
    <row r="21">
      <c r="C21" s="1">
        <v>4.75</v>
      </c>
      <c r="D21" s="3">
        <f t="shared" si="1"/>
        <v>4.31130917</v>
      </c>
    </row>
    <row r="22">
      <c r="C22" s="1">
        <v>5.0</v>
      </c>
      <c r="D22" s="3">
        <f t="shared" si="1"/>
        <v>4.292831076</v>
      </c>
    </row>
    <row r="23">
      <c r="C23" s="1">
        <v>5.25</v>
      </c>
      <c r="D23" s="3">
        <f t="shared" si="1"/>
        <v>4.273734735</v>
      </c>
    </row>
    <row r="24">
      <c r="C24" s="1">
        <v>5.5</v>
      </c>
      <c r="D24" s="3">
        <f t="shared" si="1"/>
        <v>4.254048536</v>
      </c>
    </row>
    <row r="25">
      <c r="C25" s="1">
        <v>5.75</v>
      </c>
      <c r="D25" s="3">
        <f t="shared" si="1"/>
        <v>4.233800006</v>
      </c>
    </row>
    <row r="26">
      <c r="C26" s="1">
        <v>6.0</v>
      </c>
      <c r="D26" s="3">
        <f t="shared" si="1"/>
        <v>4.213015834</v>
      </c>
    </row>
    <row r="27">
      <c r="C27" s="1">
        <v>6.25</v>
      </c>
      <c r="D27" s="3">
        <f t="shared" si="1"/>
        <v>4.191721895</v>
      </c>
    </row>
    <row r="28">
      <c r="C28" s="1">
        <v>6.5</v>
      </c>
      <c r="D28" s="3">
        <f t="shared" si="1"/>
        <v>4.169943268</v>
      </c>
    </row>
    <row r="29">
      <c r="C29" s="1">
        <v>6.75</v>
      </c>
      <c r="D29" s="3">
        <f t="shared" si="1"/>
        <v>4.147704263</v>
      </c>
    </row>
    <row r="30">
      <c r="C30" s="1">
        <v>7.0</v>
      </c>
      <c r="D30" s="3">
        <f t="shared" si="1"/>
        <v>4.125028437</v>
      </c>
    </row>
    <row r="31">
      <c r="C31" s="1">
        <v>7.25</v>
      </c>
      <c r="D31" s="3">
        <f t="shared" si="1"/>
        <v>4.101938618</v>
      </c>
    </row>
    <row r="32">
      <c r="C32" s="1">
        <v>7.5</v>
      </c>
      <c r="D32" s="3">
        <f t="shared" si="1"/>
        <v>4.078456921</v>
      </c>
    </row>
    <row r="33">
      <c r="C33" s="1">
        <v>7.75</v>
      </c>
      <c r="D33" s="3">
        <f t="shared" si="1"/>
        <v>4.054604773</v>
      </c>
    </row>
    <row r="34">
      <c r="C34" s="1">
        <v>8.0</v>
      </c>
      <c r="D34" s="3">
        <f t="shared" si="1"/>
        <v>4.030402926</v>
      </c>
    </row>
    <row r="35">
      <c r="C35" s="1">
        <v>8.25</v>
      </c>
      <c r="D35" s="3">
        <f t="shared" si="1"/>
        <v>4.005871479</v>
      </c>
    </row>
    <row r="36">
      <c r="C36" s="1">
        <v>8.5</v>
      </c>
      <c r="D36" s="3">
        <f t="shared" si="1"/>
        <v>3.981029894</v>
      </c>
    </row>
    <row r="37">
      <c r="C37" s="1">
        <v>8.75</v>
      </c>
      <c r="D37" s="3">
        <f t="shared" si="1"/>
        <v>3.955897014</v>
      </c>
    </row>
    <row r="38">
      <c r="C38" s="1">
        <v>9.0</v>
      </c>
      <c r="D38" s="3">
        <f t="shared" si="1"/>
        <v>3.93049108</v>
      </c>
    </row>
    <row r="39">
      <c r="C39" s="1">
        <v>9.25</v>
      </c>
      <c r="D39" s="3">
        <f t="shared" si="1"/>
        <v>3.90482975</v>
      </c>
    </row>
    <row r="40">
      <c r="C40" s="1">
        <v>9.5</v>
      </c>
      <c r="D40" s="3">
        <f t="shared" si="1"/>
        <v>3.87893011</v>
      </c>
    </row>
    <row r="41">
      <c r="C41" s="1">
        <v>9.75</v>
      </c>
      <c r="D41" s="3">
        <f t="shared" si="1"/>
        <v>3.852808694</v>
      </c>
    </row>
    <row r="42">
      <c r="C42" s="1">
        <v>10.0</v>
      </c>
      <c r="D42" s="3">
        <f t="shared" si="1"/>
        <v>3.826481496</v>
      </c>
      <c r="E42" s="1">
        <v>3.8167</v>
      </c>
      <c r="F42">
        <f>(D42-E42)/E42*100</f>
        <v>0.256281494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4</v>
      </c>
      <c r="B1" s="2" t="s">
        <v>6</v>
      </c>
      <c r="C1" s="1" t="s">
        <v>7</v>
      </c>
      <c r="D1" s="1" t="s">
        <v>8</v>
      </c>
      <c r="F1" s="2" t="s">
        <v>6</v>
      </c>
      <c r="G1" s="2" t="s">
        <v>9</v>
      </c>
      <c r="H1" s="1" t="s">
        <v>10</v>
      </c>
      <c r="I1" s="1" t="s">
        <v>11</v>
      </c>
      <c r="J1" s="1" t="s">
        <v>7</v>
      </c>
      <c r="K1" s="1" t="s">
        <v>12</v>
      </c>
      <c r="L1" s="1" t="s">
        <v>13</v>
      </c>
    </row>
    <row r="2">
      <c r="A2" s="2">
        <v>1.0</v>
      </c>
      <c r="B2" s="2">
        <v>0.77</v>
      </c>
      <c r="C2">
        <f t="shared" ref="C2:C11" si="2">3.8103290120546*(1-exp(-0.256640086135192*A2))</f>
        <v>0.8624808896</v>
      </c>
      <c r="D2">
        <f t="shared" ref="D2:D11" si="3">(C2-B2)/B2*100</f>
        <v>12.01050515</v>
      </c>
      <c r="F2" s="2">
        <v>1.09</v>
      </c>
      <c r="G2" s="2">
        <v>14.0</v>
      </c>
      <c r="H2">
        <f t="shared" ref="H2:I2" si="1">ln(F2)</f>
        <v>0.08617769624</v>
      </c>
      <c r="I2">
        <f t="shared" si="1"/>
        <v>2.63905733</v>
      </c>
      <c r="J2">
        <f t="shared" ref="J2:J12" si="5">11.273344442278*F2^3.26826151955121</f>
        <v>14.94074865</v>
      </c>
      <c r="K2">
        <f t="shared" ref="K2:K11" si="6">(J2-G2)^2</f>
        <v>0.8850080168</v>
      </c>
      <c r="L2">
        <f t="shared" ref="L2:L11" si="7">(J2-G2)/G2*100</f>
        <v>6.719633193</v>
      </c>
    </row>
    <row r="3">
      <c r="A3" s="2">
        <v>2.0</v>
      </c>
      <c r="B3" s="2">
        <v>1.58</v>
      </c>
      <c r="C3">
        <f t="shared" si="2"/>
        <v>1.529736306</v>
      </c>
      <c r="D3">
        <f t="shared" si="3"/>
        <v>-3.18124646</v>
      </c>
      <c r="F3" s="2">
        <v>1.38</v>
      </c>
      <c r="G3" s="2">
        <v>42.0</v>
      </c>
      <c r="H3">
        <f t="shared" ref="H3:I3" si="4">ln(F3)</f>
        <v>0.3220834992</v>
      </c>
      <c r="I3">
        <f t="shared" si="4"/>
        <v>3.737669618</v>
      </c>
      <c r="J3">
        <f t="shared" si="5"/>
        <v>32.30086941</v>
      </c>
      <c r="K3">
        <f t="shared" si="6"/>
        <v>94.07313417</v>
      </c>
      <c r="L3">
        <f t="shared" si="7"/>
        <v>-23.09316807</v>
      </c>
    </row>
    <row r="4">
      <c r="A4" s="2">
        <v>3.0</v>
      </c>
      <c r="B4" s="2">
        <v>2.04</v>
      </c>
      <c r="C4">
        <f t="shared" si="2"/>
        <v>2.045956197</v>
      </c>
      <c r="D4">
        <f t="shared" si="3"/>
        <v>0.2919704223</v>
      </c>
      <c r="F4" s="2">
        <v>1.6</v>
      </c>
      <c r="G4" s="2">
        <v>51.0</v>
      </c>
      <c r="H4">
        <f t="shared" ref="H4:I4" si="8">ln(F4)</f>
        <v>0.4700036292</v>
      </c>
      <c r="I4">
        <f t="shared" si="8"/>
        <v>3.931825633</v>
      </c>
      <c r="J4">
        <f t="shared" si="5"/>
        <v>52.38057496</v>
      </c>
      <c r="K4">
        <f t="shared" si="6"/>
        <v>1.905987221</v>
      </c>
      <c r="L4">
        <f t="shared" si="7"/>
        <v>2.707009726</v>
      </c>
    </row>
    <row r="5">
      <c r="A5" s="2">
        <v>4.0</v>
      </c>
      <c r="B5" s="2">
        <v>2.44</v>
      </c>
      <c r="C5">
        <f t="shared" si="2"/>
        <v>2.445327965</v>
      </c>
      <c r="D5">
        <f t="shared" si="3"/>
        <v>0.2183592196</v>
      </c>
      <c r="F5" s="2">
        <v>1.65</v>
      </c>
      <c r="G5" s="2">
        <v>53.0</v>
      </c>
      <c r="H5">
        <f t="shared" ref="H5:I5" si="9">ln(F5)</f>
        <v>0.5007752879</v>
      </c>
      <c r="I5">
        <f t="shared" si="9"/>
        <v>3.970291914</v>
      </c>
      <c r="J5">
        <f t="shared" si="5"/>
        <v>57.92248456</v>
      </c>
      <c r="K5">
        <f t="shared" si="6"/>
        <v>24.23085429</v>
      </c>
      <c r="L5">
        <f t="shared" si="7"/>
        <v>9.287706726</v>
      </c>
    </row>
    <row r="6">
      <c r="A6" s="2">
        <v>5.0</v>
      </c>
      <c r="B6" s="2">
        <v>2.77</v>
      </c>
      <c r="C6">
        <f t="shared" si="2"/>
        <v>2.75430058</v>
      </c>
      <c r="D6">
        <f t="shared" si="3"/>
        <v>-0.5667660798</v>
      </c>
      <c r="F6" s="2">
        <v>1.75</v>
      </c>
      <c r="G6" s="2">
        <v>64.0</v>
      </c>
      <c r="H6">
        <f t="shared" ref="H6:I6" si="10">ln(F6)</f>
        <v>0.5596157879</v>
      </c>
      <c r="I6">
        <f t="shared" si="10"/>
        <v>4.158883083</v>
      </c>
      <c r="J6">
        <f t="shared" si="5"/>
        <v>70.20445606</v>
      </c>
      <c r="K6">
        <f t="shared" si="6"/>
        <v>38.49527501</v>
      </c>
      <c r="L6">
        <f t="shared" si="7"/>
        <v>9.694462595</v>
      </c>
    </row>
    <row r="7">
      <c r="A7" s="2">
        <v>6.0</v>
      </c>
      <c r="B7" s="2">
        <v>2.99</v>
      </c>
      <c r="C7">
        <f t="shared" si="2"/>
        <v>2.993336195</v>
      </c>
      <c r="D7">
        <f t="shared" si="3"/>
        <v>0.1115784422</v>
      </c>
      <c r="F7" s="2">
        <v>1.93</v>
      </c>
      <c r="G7" s="2">
        <v>96.0</v>
      </c>
      <c r="H7">
        <f t="shared" ref="H7:I7" si="11">ln(F7)</f>
        <v>0.6575200029</v>
      </c>
      <c r="I7">
        <f t="shared" si="11"/>
        <v>4.564348191</v>
      </c>
      <c r="J7">
        <f t="shared" si="5"/>
        <v>96.67824124</v>
      </c>
      <c r="K7">
        <f t="shared" si="6"/>
        <v>0.4600111767</v>
      </c>
      <c r="L7">
        <f t="shared" si="7"/>
        <v>0.7065012894</v>
      </c>
    </row>
    <row r="8">
      <c r="A8" s="2">
        <v>7.0</v>
      </c>
      <c r="B8" s="2">
        <v>3.19</v>
      </c>
      <c r="C8">
        <f t="shared" si="2"/>
        <v>3.178265289</v>
      </c>
      <c r="D8">
        <f t="shared" si="3"/>
        <v>-0.3678592717</v>
      </c>
      <c r="F8" s="2">
        <v>2.13</v>
      </c>
      <c r="G8" s="2">
        <v>121.0</v>
      </c>
      <c r="H8">
        <f t="shared" ref="H8:I8" si="12">ln(F8)</f>
        <v>0.7561219797</v>
      </c>
      <c r="I8">
        <f t="shared" si="12"/>
        <v>4.795790546</v>
      </c>
      <c r="J8">
        <f t="shared" si="5"/>
        <v>133.4391289</v>
      </c>
      <c r="K8">
        <f t="shared" si="6"/>
        <v>154.731928</v>
      </c>
      <c r="L8">
        <f t="shared" si="7"/>
        <v>10.28027183</v>
      </c>
    </row>
    <row r="9">
      <c r="A9" s="2">
        <v>8.0</v>
      </c>
      <c r="B9" s="2">
        <v>3.35</v>
      </c>
      <c r="C9">
        <f t="shared" si="2"/>
        <v>3.321335056</v>
      </c>
      <c r="D9">
        <f t="shared" si="3"/>
        <v>-0.8556699787</v>
      </c>
      <c r="F9" s="2">
        <v>2.26</v>
      </c>
      <c r="G9" s="2">
        <v>172.0</v>
      </c>
      <c r="H9">
        <f t="shared" ref="H9:I9" si="13">ln(F9)</f>
        <v>0.8153648133</v>
      </c>
      <c r="I9">
        <f t="shared" si="13"/>
        <v>5.147494477</v>
      </c>
      <c r="J9">
        <f t="shared" si="5"/>
        <v>161.9465729</v>
      </c>
      <c r="K9">
        <f t="shared" si="6"/>
        <v>101.0713966</v>
      </c>
      <c r="L9">
        <f t="shared" si="7"/>
        <v>-5.845015761</v>
      </c>
    </row>
    <row r="10">
      <c r="A10" s="2">
        <v>9.0</v>
      </c>
      <c r="B10" s="2">
        <v>3.41</v>
      </c>
      <c r="C10">
        <f t="shared" si="2"/>
        <v>3.432020496</v>
      </c>
      <c r="D10">
        <f t="shared" si="3"/>
        <v>0.6457623318</v>
      </c>
      <c r="F10" s="2">
        <v>2.57</v>
      </c>
      <c r="G10" s="2">
        <v>248.0</v>
      </c>
      <c r="H10">
        <f t="shared" ref="H10:I10" si="14">ln(F10)</f>
        <v>0.9439058989</v>
      </c>
      <c r="I10">
        <f t="shared" si="14"/>
        <v>5.513428746</v>
      </c>
      <c r="J10">
        <f t="shared" si="5"/>
        <v>246.5025573</v>
      </c>
      <c r="K10">
        <f t="shared" si="6"/>
        <v>2.24233477</v>
      </c>
      <c r="L10">
        <f t="shared" si="7"/>
        <v>-0.6038075578</v>
      </c>
    </row>
    <row r="11">
      <c r="A11" s="2">
        <v>10.0</v>
      </c>
      <c r="B11" s="2">
        <v>3.5</v>
      </c>
      <c r="C11">
        <f t="shared" si="2"/>
        <v>3.517651911</v>
      </c>
      <c r="D11">
        <f t="shared" si="3"/>
        <v>0.5043403078</v>
      </c>
      <c r="F11" s="2">
        <v>2.98</v>
      </c>
      <c r="G11" s="2">
        <v>420.0</v>
      </c>
      <c r="H11">
        <f t="shared" ref="H11:I11" si="15">ln(F11)</f>
        <v>1.091923301</v>
      </c>
      <c r="I11">
        <f t="shared" si="15"/>
        <v>6.040254711</v>
      </c>
      <c r="J11">
        <f t="shared" si="5"/>
        <v>399.8669815</v>
      </c>
      <c r="K11">
        <f t="shared" si="6"/>
        <v>405.3384331</v>
      </c>
      <c r="L11">
        <f t="shared" si="7"/>
        <v>-4.793575829</v>
      </c>
    </row>
    <row r="12">
      <c r="F12" s="1">
        <v>3.81032901205459</v>
      </c>
      <c r="J12">
        <f t="shared" si="5"/>
        <v>892.8738135</v>
      </c>
    </row>
    <row r="13">
      <c r="D13">
        <f>sum(D2:D11)</f>
        <v>8.810974081</v>
      </c>
      <c r="K13">
        <f>SUM(K2:K11)</f>
        <v>823.4343624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8" width="11.71"/>
    <col customWidth="1" min="9" max="9" width="18.43"/>
    <col customWidth="1" min="10" max="13" width="11.71"/>
    <col customWidth="1" min="14" max="14" width="13.71"/>
    <col customWidth="1" min="15" max="29" width="11.71"/>
  </cols>
  <sheetData>
    <row r="1">
      <c r="A1" s="4" t="s">
        <v>18</v>
      </c>
      <c r="B1" s="4"/>
      <c r="C1" s="4" t="s">
        <v>19</v>
      </c>
      <c r="D1" s="4" t="s">
        <v>20</v>
      </c>
      <c r="E1" s="5"/>
      <c r="F1" s="4" t="s">
        <v>19</v>
      </c>
      <c r="G1" s="4" t="s">
        <v>21</v>
      </c>
      <c r="H1" s="5"/>
      <c r="I1" s="4" t="s">
        <v>19</v>
      </c>
      <c r="J1" s="4" t="s">
        <v>22</v>
      </c>
      <c r="K1" s="4" t="s">
        <v>23</v>
      </c>
      <c r="L1" s="4" t="s">
        <v>14</v>
      </c>
      <c r="M1" s="1" t="s">
        <v>24</v>
      </c>
    </row>
    <row r="2">
      <c r="A2" s="6">
        <v>0.0</v>
      </c>
      <c r="B2" s="6"/>
      <c r="C2" s="6">
        <v>0.0</v>
      </c>
      <c r="D2" s="6">
        <v>2.0</v>
      </c>
      <c r="E2" s="5"/>
      <c r="F2" s="6">
        <v>0.0</v>
      </c>
      <c r="G2" s="6">
        <v>4.0</v>
      </c>
      <c r="H2" s="4"/>
      <c r="I2" s="6">
        <v>0.0</v>
      </c>
      <c r="J2" s="6">
        <v>2.0</v>
      </c>
      <c r="K2" s="6">
        <v>2.0</v>
      </c>
      <c r="L2" s="7">
        <v>29.2492856933199</v>
      </c>
      <c r="M2" s="7">
        <v>2.23642361930536</v>
      </c>
      <c r="N2">
        <f t="shared" ref="N2:O2" si="1">(L2-J2)^2</f>
        <v>742.5235708</v>
      </c>
      <c r="O2">
        <f t="shared" si="1"/>
        <v>0.05589612777</v>
      </c>
      <c r="R2" s="7"/>
    </row>
    <row r="3">
      <c r="A3" s="6">
        <v>1.0</v>
      </c>
      <c r="B3" s="6"/>
      <c r="C3" s="6">
        <v>14.0</v>
      </c>
      <c r="D3" s="6">
        <v>2.0</v>
      </c>
      <c r="E3" s="5"/>
      <c r="F3" s="6">
        <v>14.0</v>
      </c>
      <c r="G3" s="6">
        <v>4.0</v>
      </c>
      <c r="H3" s="4"/>
      <c r="I3" s="6">
        <v>14.0</v>
      </c>
      <c r="J3" s="6">
        <v>2.0</v>
      </c>
      <c r="K3" s="6">
        <v>2.0</v>
      </c>
      <c r="L3" s="7">
        <v>37.8739403895731</v>
      </c>
      <c r="M3" s="7">
        <v>4.80151654363911</v>
      </c>
      <c r="N3">
        <f t="shared" ref="N3:O3" si="2">(L3-J3)^2</f>
        <v>1286.939599</v>
      </c>
      <c r="O3">
        <f t="shared" si="2"/>
        <v>7.848494944</v>
      </c>
      <c r="R3" s="7"/>
    </row>
    <row r="4">
      <c r="A4" s="6">
        <v>2.0</v>
      </c>
      <c r="B4" s="6"/>
      <c r="C4" s="6">
        <v>28.0</v>
      </c>
      <c r="D4" s="6">
        <v>2.0</v>
      </c>
      <c r="E4" s="5"/>
      <c r="F4" s="6">
        <v>28.0</v>
      </c>
      <c r="G4" s="6">
        <v>4.0</v>
      </c>
      <c r="H4" s="4"/>
      <c r="I4" s="6">
        <v>28.0</v>
      </c>
      <c r="J4" s="6">
        <v>2.0</v>
      </c>
      <c r="K4" s="6">
        <v>4.0</v>
      </c>
      <c r="L4" s="7">
        <v>48.5132194497703</v>
      </c>
      <c r="M4" s="7">
        <v>10.448134564881</v>
      </c>
      <c r="N4">
        <f t="shared" ref="N4:O4" si="3">(L4-J4)^2</f>
        <v>2163.479584</v>
      </c>
      <c r="O4">
        <f t="shared" si="3"/>
        <v>41.57843937</v>
      </c>
      <c r="R4" s="7"/>
    </row>
    <row r="5">
      <c r="A5" s="6">
        <v>3.0</v>
      </c>
      <c r="B5" s="6"/>
      <c r="C5" s="6">
        <v>35.0</v>
      </c>
      <c r="D5" s="6">
        <v>3.0</v>
      </c>
      <c r="E5" s="5"/>
      <c r="F5" s="6">
        <v>35.0</v>
      </c>
      <c r="G5" s="6">
        <v>25.0</v>
      </c>
      <c r="H5" s="4"/>
      <c r="I5" s="6">
        <v>35.0</v>
      </c>
      <c r="J5" s="6">
        <v>2.0</v>
      </c>
      <c r="K5" s="6">
        <v>33.0</v>
      </c>
      <c r="L5" s="7">
        <v>54.6671973922228</v>
      </c>
      <c r="M5" s="7">
        <v>15.4831285855891</v>
      </c>
      <c r="N5">
        <f t="shared" ref="N5:O5" si="4">(L5-J5)^2</f>
        <v>2773.833681</v>
      </c>
      <c r="O5">
        <f t="shared" si="4"/>
        <v>306.8407841</v>
      </c>
      <c r="R5" s="7"/>
    </row>
    <row r="6">
      <c r="A6" s="6">
        <v>4.0</v>
      </c>
      <c r="B6" s="6"/>
      <c r="C6" s="6">
        <v>42.0</v>
      </c>
      <c r="D6" s="6">
        <v>17.0</v>
      </c>
      <c r="E6" s="5"/>
      <c r="F6" s="6">
        <v>42.0</v>
      </c>
      <c r="G6" s="6">
        <v>44.0</v>
      </c>
      <c r="H6" s="4"/>
      <c r="I6" s="6">
        <v>42.0</v>
      </c>
      <c r="J6" s="6">
        <v>21.0</v>
      </c>
      <c r="K6" s="6">
        <v>41.0</v>
      </c>
      <c r="L6" s="7">
        <v>61.0339837909304</v>
      </c>
      <c r="M6" s="7">
        <v>22.4852262801493</v>
      </c>
      <c r="N6">
        <f t="shared" ref="N6:O6" si="5">(L6-J6)^2</f>
        <v>1602.719858</v>
      </c>
      <c r="O6">
        <f t="shared" si="5"/>
        <v>342.7968459</v>
      </c>
      <c r="R6" s="7"/>
    </row>
    <row r="7">
      <c r="A7" s="6">
        <v>5.0</v>
      </c>
      <c r="B7" s="6"/>
      <c r="C7" s="6">
        <v>49.0</v>
      </c>
      <c r="D7" s="6">
        <v>65.0</v>
      </c>
      <c r="E7" s="5"/>
      <c r="F7" s="6">
        <v>49.0</v>
      </c>
      <c r="G7" s="6">
        <v>63.0</v>
      </c>
      <c r="H7" s="4"/>
      <c r="I7" s="6">
        <v>49.0</v>
      </c>
      <c r="J7" s="6">
        <v>59.0</v>
      </c>
      <c r="K7" s="6">
        <v>53.0</v>
      </c>
      <c r="L7" s="7">
        <v>67.8504692227941</v>
      </c>
      <c r="M7" s="7">
        <v>32.4286356985939</v>
      </c>
      <c r="N7">
        <f t="shared" ref="N7:O7" si="6">(L7-J7)^2</f>
        <v>78.33080546</v>
      </c>
      <c r="O7">
        <f t="shared" si="6"/>
        <v>423.1810292</v>
      </c>
      <c r="R7" s="7"/>
    </row>
    <row r="8">
      <c r="A8" s="6">
        <v>6.0</v>
      </c>
      <c r="B8" s="6"/>
      <c r="C8" s="6">
        <v>63.0</v>
      </c>
      <c r="D8" s="6">
        <v>119.0</v>
      </c>
      <c r="E8" s="5"/>
      <c r="F8" s="6">
        <v>63.0</v>
      </c>
      <c r="G8" s="6">
        <v>147.0</v>
      </c>
      <c r="H8" s="4"/>
      <c r="I8" s="6">
        <v>63.0</v>
      </c>
      <c r="J8" s="6">
        <v>116.0</v>
      </c>
      <c r="K8" s="6">
        <v>74.0</v>
      </c>
      <c r="L8" s="7">
        <v>83.2213097912267</v>
      </c>
      <c r="M8" s="7">
        <v>65.9734475872531</v>
      </c>
      <c r="N8">
        <f t="shared" ref="N8:O8" si="7">(L8-J8)^2</f>
        <v>1074.442532</v>
      </c>
      <c r="O8">
        <f t="shared" si="7"/>
        <v>64.42554363</v>
      </c>
      <c r="R8" s="7"/>
    </row>
    <row r="9">
      <c r="A9" s="6">
        <v>7.0</v>
      </c>
      <c r="B9" s="6"/>
      <c r="C9" s="6">
        <v>77.0</v>
      </c>
      <c r="D9" s="6">
        <v>130.0</v>
      </c>
      <c r="E9" s="5"/>
      <c r="F9" s="6">
        <v>77.0</v>
      </c>
      <c r="G9" s="6">
        <v>285.0</v>
      </c>
      <c r="H9" s="4"/>
      <c r="I9" s="6">
        <v>77.0</v>
      </c>
      <c r="J9" s="6">
        <v>120.0</v>
      </c>
      <c r="K9" s="6">
        <v>127.0</v>
      </c>
      <c r="L9" s="7">
        <v>100.853456193513</v>
      </c>
      <c r="M9" s="7">
        <v>122.953301112137</v>
      </c>
      <c r="N9">
        <f t="shared" ref="N9:O9" si="8">(L9-J9)^2</f>
        <v>366.5901397</v>
      </c>
      <c r="O9">
        <f t="shared" si="8"/>
        <v>16.37577189</v>
      </c>
      <c r="R9" s="7"/>
    </row>
    <row r="10">
      <c r="A10" s="6">
        <v>8.0</v>
      </c>
      <c r="B10" s="6"/>
      <c r="C10" s="6">
        <v>91.0</v>
      </c>
      <c r="D10" s="6">
        <v>175.0</v>
      </c>
      <c r="E10" s="5"/>
      <c r="F10" s="6">
        <v>91.0</v>
      </c>
      <c r="G10" s="6">
        <v>345.0</v>
      </c>
      <c r="H10" s="4"/>
      <c r="I10" s="6">
        <v>91.0</v>
      </c>
      <c r="J10" s="6">
        <v>138.0</v>
      </c>
      <c r="K10" s="6">
        <v>190.0</v>
      </c>
      <c r="L10" s="7">
        <v>121.338604315101</v>
      </c>
      <c r="M10" s="7">
        <v>199.835596132092</v>
      </c>
      <c r="N10">
        <f t="shared" ref="N10:O10" si="9">(L10-J10)^2</f>
        <v>277.6021062</v>
      </c>
      <c r="O10">
        <f t="shared" si="9"/>
        <v>96.73895127</v>
      </c>
      <c r="R10" s="7"/>
    </row>
    <row r="11">
      <c r="A11" s="6">
        <v>9.0</v>
      </c>
      <c r="B11" s="6"/>
      <c r="C11" s="6">
        <v>105.0</v>
      </c>
      <c r="D11" s="6">
        <v>205.0</v>
      </c>
      <c r="E11" s="5"/>
      <c r="F11" s="6">
        <v>105.0</v>
      </c>
      <c r="G11" s="6">
        <v>361.0</v>
      </c>
      <c r="H11" s="4"/>
      <c r="I11" s="6">
        <v>105.0</v>
      </c>
      <c r="J11" s="6">
        <v>152.0</v>
      </c>
      <c r="K11" s="6">
        <v>203.0</v>
      </c>
      <c r="L11" s="7">
        <v>144.783363149292</v>
      </c>
      <c r="M11" s="7">
        <v>277.027192872706</v>
      </c>
      <c r="N11">
        <f t="shared" ref="N11:O11" si="10">(L11-J11)^2</f>
        <v>52.07984743</v>
      </c>
      <c r="O11">
        <f t="shared" si="10"/>
        <v>5480.025285</v>
      </c>
      <c r="R11" s="7"/>
    </row>
    <row r="12">
      <c r="A12" s="6">
        <v>10.0</v>
      </c>
      <c r="B12" s="6"/>
      <c r="C12" s="6">
        <v>119.0</v>
      </c>
      <c r="D12" s="6">
        <v>261.0</v>
      </c>
      <c r="E12" s="5"/>
      <c r="F12" s="6">
        <v>119.0</v>
      </c>
      <c r="G12" s="6">
        <v>405.0</v>
      </c>
      <c r="H12" s="4"/>
      <c r="I12" s="6">
        <v>119.0</v>
      </c>
      <c r="J12" s="6">
        <v>193.0</v>
      </c>
      <c r="K12" s="6">
        <v>305.0</v>
      </c>
      <c r="L12" s="7">
        <v>169.313501179001</v>
      </c>
      <c r="M12" s="7">
        <v>334.682567781701</v>
      </c>
      <c r="N12">
        <f t="shared" ref="N12:O12" si="11">(L12-J12)^2</f>
        <v>561.0502264</v>
      </c>
      <c r="O12">
        <f t="shared" si="11"/>
        <v>881.0548301</v>
      </c>
      <c r="R12" s="7"/>
    </row>
    <row r="13">
      <c r="A13" s="6">
        <v>11.0</v>
      </c>
      <c r="B13" s="6"/>
      <c r="C13" s="6">
        <v>133.0</v>
      </c>
      <c r="D13" s="6">
        <v>302.0</v>
      </c>
      <c r="E13" s="5"/>
      <c r="F13" s="6">
        <v>133.0</v>
      </c>
      <c r="G13" s="6">
        <v>471.0</v>
      </c>
      <c r="H13" s="4"/>
      <c r="I13" s="6">
        <v>133.0</v>
      </c>
      <c r="J13" s="6">
        <v>260.0</v>
      </c>
      <c r="K13" s="6">
        <v>385.0</v>
      </c>
      <c r="L13" s="7">
        <v>193.416192484922</v>
      </c>
      <c r="M13" s="7">
        <v>372.595825603625</v>
      </c>
      <c r="N13">
        <f t="shared" ref="N13:O13" si="12">(L13-J13)^2</f>
        <v>4433.403423</v>
      </c>
      <c r="O13">
        <f t="shared" si="12"/>
        <v>153.8635425</v>
      </c>
      <c r="R13" s="7"/>
    </row>
    <row r="14">
      <c r="A14" s="6">
        <v>12.0</v>
      </c>
      <c r="B14" s="6"/>
      <c r="C14" s="6">
        <v>147.0</v>
      </c>
      <c r="D14" s="6">
        <v>330.0</v>
      </c>
      <c r="E14" s="5"/>
      <c r="F14" s="6">
        <v>147.0</v>
      </c>
      <c r="G14" s="6">
        <v>420.0</v>
      </c>
      <c r="H14" s="4"/>
      <c r="I14" s="6">
        <v>147.0</v>
      </c>
      <c r="J14" s="6">
        <v>255.0</v>
      </c>
      <c r="K14" s="6">
        <v>480.0</v>
      </c>
      <c r="L14" s="7">
        <v>215.614324836296</v>
      </c>
      <c r="M14" s="7">
        <v>395.614007730357</v>
      </c>
      <c r="N14">
        <f t="shared" ref="N14:O14" si="13">(L14-J14)^2</f>
        <v>1551.231408</v>
      </c>
      <c r="O14">
        <f t="shared" si="13"/>
        <v>7120.995691</v>
      </c>
      <c r="R14" s="7"/>
    </row>
    <row r="15">
      <c r="A15" s="6">
        <v>13.0</v>
      </c>
      <c r="B15" s="6"/>
      <c r="C15" s="6">
        <v>161.0</v>
      </c>
      <c r="D15" s="6">
        <v>315.0</v>
      </c>
      <c r="E15" s="5"/>
      <c r="F15" s="6">
        <v>161.0</v>
      </c>
      <c r="G15" s="6">
        <v>430.0</v>
      </c>
      <c r="H15" s="4"/>
      <c r="I15" s="6">
        <v>161.0</v>
      </c>
      <c r="J15" s="6">
        <v>245.0</v>
      </c>
      <c r="K15" s="6">
        <v>405.0</v>
      </c>
      <c r="L15" s="7">
        <v>230.89864874989</v>
      </c>
      <c r="M15" s="7">
        <v>407.864248308371</v>
      </c>
      <c r="N15">
        <f t="shared" ref="N15:O15" si="14">(L15-J15)^2</f>
        <v>198.8481071</v>
      </c>
      <c r="O15">
        <f t="shared" si="14"/>
        <v>8.203918372</v>
      </c>
      <c r="R15" s="7"/>
    </row>
    <row r="16">
      <c r="A16" s="6">
        <v>14.0</v>
      </c>
      <c r="B16" s="6"/>
      <c r="C16" s="6">
        <v>175.0</v>
      </c>
      <c r="D16" s="6">
        <v>333.0</v>
      </c>
      <c r="E16" s="5"/>
      <c r="F16" s="6">
        <v>175.0</v>
      </c>
      <c r="G16" s="6">
        <v>420.0</v>
      </c>
      <c r="H16" s="4"/>
      <c r="I16" s="6">
        <v>175.0</v>
      </c>
      <c r="J16" s="6">
        <v>250.0</v>
      </c>
      <c r="K16" s="6">
        <v>425.0</v>
      </c>
      <c r="L16" s="7">
        <v>243.617795856847</v>
      </c>
      <c r="M16" s="7">
        <v>414.79777928115</v>
      </c>
      <c r="N16">
        <f t="shared" ref="N16:O16" si="15">(L16-J16)^2</f>
        <v>40.73252972</v>
      </c>
      <c r="O16">
        <f t="shared" si="15"/>
        <v>104.0853076</v>
      </c>
      <c r="R16" s="7"/>
    </row>
    <row r="17">
      <c r="A17" s="6">
        <v>15.0</v>
      </c>
      <c r="B17" s="6"/>
      <c r="C17" s="6">
        <v>189.0</v>
      </c>
      <c r="D17" s="6">
        <v>350.0</v>
      </c>
      <c r="E17" s="5"/>
      <c r="F17" s="6">
        <v>189.0</v>
      </c>
      <c r="G17" s="6">
        <v>475.0</v>
      </c>
      <c r="H17" s="4"/>
      <c r="I17" s="6">
        <v>189.0</v>
      </c>
      <c r="J17" s="6">
        <v>260.0</v>
      </c>
      <c r="K17" s="6">
        <v>425.0</v>
      </c>
      <c r="L17" s="7">
        <v>252.581333721277</v>
      </c>
      <c r="M17" s="7">
        <v>419.395226776129</v>
      </c>
      <c r="N17">
        <f t="shared" ref="N17:O17" si="16">(L17-J17)^2</f>
        <v>55.03660936</v>
      </c>
      <c r="O17">
        <f t="shared" si="16"/>
        <v>31.41348289</v>
      </c>
      <c r="R17" s="7"/>
    </row>
    <row r="18">
      <c r="A18" s="6">
        <v>16.0</v>
      </c>
      <c r="B18" s="6"/>
      <c r="C18" s="6">
        <v>203.0</v>
      </c>
      <c r="D18" s="6">
        <v>332.0</v>
      </c>
      <c r="E18" s="5"/>
      <c r="F18" s="6">
        <v>203.0</v>
      </c>
      <c r="G18" s="6">
        <v>435.0</v>
      </c>
      <c r="H18" s="4"/>
      <c r="I18" s="6">
        <v>203.0</v>
      </c>
      <c r="J18" s="6">
        <v>210.0</v>
      </c>
      <c r="K18" s="6">
        <v>450.0</v>
      </c>
      <c r="L18" s="7">
        <v>259.190293445408</v>
      </c>
      <c r="M18" s="7">
        <v>422.710338409567</v>
      </c>
      <c r="N18">
        <f t="shared" ref="N18:O18" si="17">(L18-J18)^2</f>
        <v>2419.684969</v>
      </c>
      <c r="O18">
        <f t="shared" si="17"/>
        <v>744.7256297</v>
      </c>
      <c r="R18" s="7"/>
    </row>
    <row r="19">
      <c r="A19" s="6">
        <v>17.0</v>
      </c>
      <c r="B19" s="6"/>
      <c r="C19" s="6">
        <v>231.0</v>
      </c>
      <c r="D19" s="6">
        <v>333.0</v>
      </c>
      <c r="E19" s="5"/>
      <c r="F19" s="6">
        <v>231.0</v>
      </c>
      <c r="G19" s="6">
        <v>480.0</v>
      </c>
      <c r="H19" s="4"/>
      <c r="I19" s="6">
        <v>231.0</v>
      </c>
      <c r="J19" s="6">
        <v>233.0</v>
      </c>
      <c r="K19" s="6">
        <v>415.0</v>
      </c>
      <c r="L19" s="7">
        <v>265.556642624147</v>
      </c>
      <c r="M19" s="7">
        <v>426.062927511578</v>
      </c>
      <c r="N19">
        <f t="shared" ref="N19:O19" si="18">(L19-J19)^2</f>
        <v>1059.934979</v>
      </c>
      <c r="O19">
        <f t="shared" si="18"/>
        <v>122.3883651</v>
      </c>
      <c r="R19" s="7"/>
    </row>
    <row r="20">
      <c r="A20" s="6">
        <v>18.0</v>
      </c>
      <c r="B20" s="6"/>
      <c r="C20" s="6">
        <v>245.0</v>
      </c>
      <c r="D20" s="6">
        <v>335.0</v>
      </c>
      <c r="E20" s="5"/>
      <c r="F20" s="5"/>
      <c r="G20" s="5"/>
      <c r="H20" s="4"/>
      <c r="I20" s="6">
        <v>259.0</v>
      </c>
      <c r="J20" s="6">
        <v>255.0</v>
      </c>
      <c r="K20" s="6">
        <v>425.0</v>
      </c>
      <c r="L20" s="7">
        <v>268.346528501881</v>
      </c>
      <c r="M20" s="7">
        <v>427.571346248055</v>
      </c>
      <c r="N20">
        <f t="shared" ref="N20:O20" si="19">(L20-J20)^2</f>
        <v>178.1298231</v>
      </c>
      <c r="O20">
        <f t="shared" si="19"/>
        <v>6.611821527</v>
      </c>
      <c r="R20" s="7"/>
    </row>
    <row r="21">
      <c r="A21" s="6">
        <v>19.0</v>
      </c>
      <c r="B21" s="6"/>
      <c r="C21" s="6">
        <v>259.0</v>
      </c>
      <c r="D21" s="6">
        <v>330.0</v>
      </c>
      <c r="E21" s="5"/>
      <c r="F21" s="5"/>
      <c r="G21" s="5"/>
      <c r="H21" s="4"/>
      <c r="I21" s="6">
        <v>273.0</v>
      </c>
      <c r="J21" s="6">
        <v>260.0</v>
      </c>
      <c r="K21" s="6">
        <v>415.0</v>
      </c>
      <c r="L21" s="7">
        <v>269.015078725489</v>
      </c>
      <c r="M21" s="7">
        <v>427.936518890002</v>
      </c>
      <c r="N21">
        <f t="shared" ref="N21:O21" si="20">(L21-J21)^2</f>
        <v>81.27164443</v>
      </c>
      <c r="O21">
        <f t="shared" si="20"/>
        <v>167.353521</v>
      </c>
      <c r="R21" s="7"/>
    </row>
    <row r="22">
      <c r="A22" s="5"/>
      <c r="B22" s="5"/>
      <c r="C22" s="5"/>
      <c r="D22" s="5"/>
      <c r="E22" s="5"/>
      <c r="F22" s="5"/>
      <c r="G22" s="5"/>
      <c r="H22" s="4"/>
      <c r="I22" s="6">
        <v>287.0</v>
      </c>
      <c r="J22" s="6">
        <v>260.0</v>
      </c>
      <c r="K22" s="6">
        <v>420.0</v>
      </c>
      <c r="L22" s="7">
        <v>269.436917321654</v>
      </c>
      <c r="M22" s="7">
        <v>428.168059728536</v>
      </c>
      <c r="N22">
        <f t="shared" ref="N22:O22" si="21">(L22-J22)^2</f>
        <v>89.05540854</v>
      </c>
      <c r="O22">
        <f t="shared" si="21"/>
        <v>66.71719973</v>
      </c>
      <c r="R22" s="7"/>
    </row>
    <row r="24">
      <c r="N24">
        <f>SUM(N2:N22)</f>
        <v>21086.92085</v>
      </c>
      <c r="O24">
        <f>SUM(O2:O23)</f>
        <v>16187.28035</v>
      </c>
    </row>
    <row r="26">
      <c r="I26">
        <f>0.2867132867*2</f>
        <v>0.5734265734</v>
      </c>
    </row>
  </sheetData>
  <drawing r:id="rId1"/>
</worksheet>
</file>