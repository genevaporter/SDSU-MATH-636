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Problem 1 - 4 op" sheetId="1" r:id="rId3"/>
    <sheet state="visible" name="Problem 2 - 5 op" sheetId="2" r:id="rId4"/>
    <sheet state="visible" name="Problem 1" sheetId="3" r:id="rId5"/>
    <sheet state="visible" name="Problem 3" sheetId="4" r:id="rId6"/>
  </sheets>
  <definedNames/>
  <calcPr/>
</workbook>
</file>

<file path=xl/sharedStrings.xml><?xml version="1.0" encoding="utf-8"?>
<sst xmlns="http://schemas.openxmlformats.org/spreadsheetml/2006/main" count="109" uniqueCount="44">
  <si>
    <t>Patient</t>
  </si>
  <si>
    <t>Patient#</t>
  </si>
  <si>
    <t>Random#</t>
  </si>
  <si>
    <t>Length of Operation</t>
  </si>
  <si>
    <t>Time Begins</t>
  </si>
  <si>
    <t>Time Ends</t>
  </si>
  <si>
    <t>Operating Room#</t>
  </si>
  <si>
    <t>OP Room Available</t>
  </si>
  <si>
    <t>Recovery needed</t>
  </si>
  <si>
    <t>Recovery Begins</t>
  </si>
  <si>
    <t>Recovery Ends</t>
  </si>
  <si>
    <t>RR Bed #</t>
  </si>
  <si>
    <t>RR Bed Available</t>
  </si>
  <si>
    <t>Operating Room</t>
  </si>
  <si>
    <t>Random Number</t>
  </si>
  <si>
    <t>Length of Surgery</t>
  </si>
  <si>
    <t>Surgery Begins</t>
  </si>
  <si>
    <t>Surgery Ends</t>
  </si>
  <si>
    <t>Operating Rooms 1-4</t>
  </si>
  <si>
    <t>or ready</t>
  </si>
  <si>
    <t>Recovery Time Needed</t>
  </si>
  <si>
    <t>Recovery Room</t>
  </si>
  <si>
    <t>rr ready</t>
  </si>
  <si>
    <t>Operating Rooms 1-5</t>
  </si>
  <si>
    <t>Recovery</t>
  </si>
  <si>
    <t>Bed</t>
  </si>
  <si>
    <t>--</t>
  </si>
  <si>
    <t>Region</t>
  </si>
  <si>
    <t>Area</t>
  </si>
  <si>
    <t>Probability</t>
  </si>
  <si>
    <t>Points Possible</t>
  </si>
  <si>
    <t>Point Region</t>
  </si>
  <si>
    <t>Total Area</t>
  </si>
  <si>
    <t>bullseye</t>
  </si>
  <si>
    <t>bullseye ring</t>
  </si>
  <si>
    <t>inner red/green</t>
  </si>
  <si>
    <t>average</t>
  </si>
  <si>
    <t>Y</t>
  </si>
  <si>
    <t>N</t>
  </si>
  <si>
    <t>outer red/green</t>
  </si>
  <si>
    <t>inner black/white</t>
  </si>
  <si>
    <t>outer black/white</t>
  </si>
  <si>
    <t>outer black</t>
  </si>
  <si>
    <t>Total Probability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</si>
</sst>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sz val="11.0"/>
      <color rgb="FF000000"/>
      <name val="Calibri"/>
    </font>
    <font/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8.14"/>
    <col customWidth="1" min="2" max="2" width="8.86"/>
    <col customWidth="1" min="3" max="3" width="9.29"/>
    <col customWidth="1" min="4" max="4" width="6.57"/>
    <col customWidth="1" min="5" max="5" width="6.29"/>
    <col customWidth="1" min="6" max="6" width="9.29"/>
    <col customWidth="1" min="7" max="7" width="8.71"/>
    <col customWidth="1" min="8" max="8" width="8.57"/>
    <col customWidth="1" min="9" max="9" width="8.71"/>
    <col customWidth="1" min="10" max="10" width="5.57"/>
    <col customWidth="1" min="11" max="11" width="8.71"/>
    <col customWidth="1" min="12" max="12" width="9.43"/>
    <col customWidth="1" min="13" max="13" width="8.14"/>
    <col customWidth="1" min="14" max="14" width="9.57"/>
    <col customWidth="1" min="15" max="15" width="8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3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6"/>
      <c r="C2" s="1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>
        <v>1.0</v>
      </c>
      <c r="B3" s="3">
        <v>987.0</v>
      </c>
      <c r="C3" s="5">
        <f t="shared" ref="C3:C34" si="1">if(B3&lt;=384,0.75,if(B3&lt;=620,0.75,if(B3&lt;=766,1.25,if(B3&lt;=856,1.75,if(B3&lt;=911,2.25,if(B3&lt;=945,2.75,if(B3&lt;=966,3.25,if(B3&lt;=979,3.75,if(B3&lt;=1000,4)))))))))</f>
        <v>4</v>
      </c>
      <c r="D3" s="3"/>
      <c r="E3" s="5">
        <f t="shared" ref="E3:E34" si="2">D3+C3</f>
        <v>4</v>
      </c>
      <c r="F3" s="3">
        <v>1.0</v>
      </c>
      <c r="G3" s="5" t="str">
        <f t="shared" ref="G3:G34" si="3">if(AND(242&lt;=B3, B3&lt;=384),"N","Y")</f>
        <v>Y</v>
      </c>
      <c r="H3" s="5">
        <f t="shared" ref="H3:H34" si="4">if(G3="Y", E3+0.08,0)</f>
        <v>4.08</v>
      </c>
      <c r="I3" s="5">
        <f t="shared" ref="I3:I34" si="5">if(B3&lt;=241,H3+1.5,if(B3&gt;=385,H3+3,0))</f>
        <v>7.08</v>
      </c>
      <c r="J3" s="3">
        <v>1.0</v>
      </c>
      <c r="K3" s="5">
        <f t="shared" ref="K3:K34" si="6">if(I3&gt;0,I3+0.25,0)</f>
        <v>7.33</v>
      </c>
      <c r="L3" s="3">
        <v>1.0</v>
      </c>
      <c r="M3" s="5"/>
      <c r="N3" s="3">
        <v>1.0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>
        <v>2.0</v>
      </c>
      <c r="B4" s="3">
        <v>52.0</v>
      </c>
      <c r="C4" s="5">
        <f t="shared" si="1"/>
        <v>0.75</v>
      </c>
      <c r="D4" s="3"/>
      <c r="E4" s="5">
        <f t="shared" si="2"/>
        <v>0.75</v>
      </c>
      <c r="F4" s="3">
        <v>2.0</v>
      </c>
      <c r="G4" s="5" t="str">
        <f t="shared" si="3"/>
        <v>Y</v>
      </c>
      <c r="H4" s="5">
        <f t="shared" si="4"/>
        <v>0.83</v>
      </c>
      <c r="I4" s="5">
        <f t="shared" si="5"/>
        <v>2.33</v>
      </c>
      <c r="J4" s="3">
        <v>2.0</v>
      </c>
      <c r="K4" s="5">
        <f t="shared" si="6"/>
        <v>2.58</v>
      </c>
      <c r="L4" s="3">
        <v>2.0</v>
      </c>
      <c r="M4" s="5"/>
      <c r="N4" s="3">
        <v>2.0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>
        <v>3.0</v>
      </c>
      <c r="B5" s="3">
        <v>97.0</v>
      </c>
      <c r="C5" s="5">
        <f t="shared" si="1"/>
        <v>0.75</v>
      </c>
      <c r="D5" s="3"/>
      <c r="E5" s="5">
        <f t="shared" si="2"/>
        <v>0.75</v>
      </c>
      <c r="F5" s="3">
        <v>3.0</v>
      </c>
      <c r="G5" s="5" t="str">
        <f t="shared" si="3"/>
        <v>Y</v>
      </c>
      <c r="H5" s="5">
        <f t="shared" si="4"/>
        <v>0.83</v>
      </c>
      <c r="I5" s="5">
        <f t="shared" si="5"/>
        <v>2.33</v>
      </c>
      <c r="J5" s="3">
        <v>4.0</v>
      </c>
      <c r="K5" s="5">
        <f t="shared" si="6"/>
        <v>2.58</v>
      </c>
      <c r="L5" s="3">
        <v>3.0</v>
      </c>
      <c r="M5" s="5"/>
      <c r="N5" s="3">
        <v>3.0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>
        <v>4.0</v>
      </c>
      <c r="B6" s="3">
        <v>744.0</v>
      </c>
      <c r="C6" s="5">
        <f t="shared" si="1"/>
        <v>1.25</v>
      </c>
      <c r="D6" s="3"/>
      <c r="E6" s="5">
        <f t="shared" si="2"/>
        <v>1.25</v>
      </c>
      <c r="F6" s="3">
        <v>4.0</v>
      </c>
      <c r="G6" s="5" t="str">
        <f t="shared" si="3"/>
        <v>Y</v>
      </c>
      <c r="H6" s="5">
        <f t="shared" si="4"/>
        <v>1.33</v>
      </c>
      <c r="I6" s="5">
        <f t="shared" si="5"/>
        <v>4.33</v>
      </c>
      <c r="J6" s="3">
        <v>3.0</v>
      </c>
      <c r="K6" s="5">
        <f t="shared" si="6"/>
        <v>4.58</v>
      </c>
      <c r="L6" s="3">
        <v>4.0</v>
      </c>
      <c r="M6" s="5"/>
      <c r="N6" s="3">
        <v>4.0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5.0</v>
      </c>
      <c r="B7" s="3">
        <v>409.0</v>
      </c>
      <c r="C7" s="5">
        <f t="shared" si="1"/>
        <v>0.75</v>
      </c>
      <c r="D7" s="3"/>
      <c r="E7" s="5">
        <f t="shared" si="2"/>
        <v>0.75</v>
      </c>
      <c r="F7" s="3">
        <v>1.0</v>
      </c>
      <c r="G7" s="5" t="str">
        <f t="shared" si="3"/>
        <v>Y</v>
      </c>
      <c r="H7" s="5">
        <f t="shared" si="4"/>
        <v>0.83</v>
      </c>
      <c r="I7" s="5">
        <f t="shared" si="5"/>
        <v>3.83</v>
      </c>
      <c r="J7" s="3">
        <v>4.0</v>
      </c>
      <c r="K7" s="5">
        <f t="shared" si="6"/>
        <v>4.08</v>
      </c>
      <c r="L7" s="3"/>
      <c r="M7" s="5"/>
      <c r="N7" s="3">
        <v>5.0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>
        <v>6.0</v>
      </c>
      <c r="B8" s="3">
        <v>148.0</v>
      </c>
      <c r="C8" s="5">
        <f t="shared" si="1"/>
        <v>0.75</v>
      </c>
      <c r="D8" s="3"/>
      <c r="E8" s="5">
        <f t="shared" si="2"/>
        <v>0.75</v>
      </c>
      <c r="F8" s="3">
        <v>2.0</v>
      </c>
      <c r="G8" s="5" t="str">
        <f t="shared" si="3"/>
        <v>Y</v>
      </c>
      <c r="H8" s="5">
        <f t="shared" si="4"/>
        <v>0.83</v>
      </c>
      <c r="I8" s="5">
        <f t="shared" si="5"/>
        <v>2.33</v>
      </c>
      <c r="J8" s="3">
        <v>5.0</v>
      </c>
      <c r="K8" s="5">
        <f t="shared" si="6"/>
        <v>2.58</v>
      </c>
      <c r="L8" s="3"/>
      <c r="M8" s="5"/>
      <c r="N8" s="3">
        <v>6.0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>
        <v>7.0</v>
      </c>
      <c r="B9" s="3">
        <v>707.0</v>
      </c>
      <c r="C9" s="5">
        <f t="shared" si="1"/>
        <v>1.25</v>
      </c>
      <c r="D9" s="3"/>
      <c r="E9" s="5">
        <f t="shared" si="2"/>
        <v>1.25</v>
      </c>
      <c r="F9" s="3">
        <v>1.0</v>
      </c>
      <c r="G9" s="5" t="str">
        <f t="shared" si="3"/>
        <v>Y</v>
      </c>
      <c r="H9" s="5">
        <f t="shared" si="4"/>
        <v>1.33</v>
      </c>
      <c r="I9" s="5">
        <f t="shared" si="5"/>
        <v>4.33</v>
      </c>
      <c r="J9" s="3" t="s">
        <v>26</v>
      </c>
      <c r="K9" s="5">
        <f t="shared" si="6"/>
        <v>4.58</v>
      </c>
      <c r="L9" s="3"/>
      <c r="M9" s="5"/>
      <c r="N9" s="3">
        <v>7.0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>
        <v>8.0</v>
      </c>
      <c r="B10" s="3">
        <v>704.0</v>
      </c>
      <c r="C10" s="5">
        <f t="shared" si="1"/>
        <v>1.25</v>
      </c>
      <c r="D10" s="3"/>
      <c r="E10" s="5">
        <f t="shared" si="2"/>
        <v>1.25</v>
      </c>
      <c r="F10" s="3">
        <v>4.0</v>
      </c>
      <c r="G10" s="5" t="str">
        <f t="shared" si="3"/>
        <v>Y</v>
      </c>
      <c r="H10" s="5">
        <f t="shared" si="4"/>
        <v>1.33</v>
      </c>
      <c r="I10" s="5">
        <f t="shared" si="5"/>
        <v>4.33</v>
      </c>
      <c r="J10" s="3">
        <v>6.0</v>
      </c>
      <c r="K10" s="5">
        <f t="shared" si="6"/>
        <v>4.58</v>
      </c>
      <c r="L10" s="3"/>
      <c r="M10" s="5"/>
      <c r="N10" s="3">
        <v>8.0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>
        <v>9.0</v>
      </c>
      <c r="B11" s="3">
        <v>883.0</v>
      </c>
      <c r="C11" s="5">
        <f t="shared" si="1"/>
        <v>2.25</v>
      </c>
      <c r="D11" s="3"/>
      <c r="E11" s="5">
        <f t="shared" si="2"/>
        <v>2.25</v>
      </c>
      <c r="F11" s="3">
        <v>2.0</v>
      </c>
      <c r="G11" s="5" t="str">
        <f t="shared" si="3"/>
        <v>Y</v>
      </c>
      <c r="H11" s="5">
        <f t="shared" si="4"/>
        <v>2.33</v>
      </c>
      <c r="I11" s="5">
        <f t="shared" si="5"/>
        <v>5.33</v>
      </c>
      <c r="J11" s="3">
        <v>7.0</v>
      </c>
      <c r="K11" s="5">
        <f t="shared" si="6"/>
        <v>5.58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>
        <v>10.0</v>
      </c>
      <c r="B12" s="3">
        <v>264.0</v>
      </c>
      <c r="C12" s="5">
        <f t="shared" si="1"/>
        <v>0.75</v>
      </c>
      <c r="D12" s="3"/>
      <c r="E12" s="5">
        <f t="shared" si="2"/>
        <v>0.75</v>
      </c>
      <c r="F12" s="3">
        <v>1.0</v>
      </c>
      <c r="G12" s="5" t="str">
        <f t="shared" si="3"/>
        <v>N</v>
      </c>
      <c r="H12" s="5">
        <f t="shared" si="4"/>
        <v>0</v>
      </c>
      <c r="I12" s="5">
        <f t="shared" si="5"/>
        <v>0</v>
      </c>
      <c r="J12" s="3">
        <v>2.0</v>
      </c>
      <c r="K12" s="5">
        <f t="shared" si="6"/>
        <v>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>
        <v>11.0</v>
      </c>
      <c r="B13" s="3">
        <v>479.0</v>
      </c>
      <c r="C13" s="5">
        <f t="shared" si="1"/>
        <v>0.75</v>
      </c>
      <c r="D13" s="3"/>
      <c r="E13" s="5">
        <f t="shared" si="2"/>
        <v>0.75</v>
      </c>
      <c r="F13" s="3">
        <v>2.0</v>
      </c>
      <c r="G13" s="5" t="str">
        <f t="shared" si="3"/>
        <v>Y</v>
      </c>
      <c r="H13" s="5">
        <f t="shared" si="4"/>
        <v>0.83</v>
      </c>
      <c r="I13" s="5">
        <f t="shared" si="5"/>
        <v>3.83</v>
      </c>
      <c r="J13" s="3" t="s">
        <v>26</v>
      </c>
      <c r="K13" s="5">
        <f t="shared" si="6"/>
        <v>4.08</v>
      </c>
      <c r="L13" s="3"/>
      <c r="M13" s="5"/>
      <c r="N13" s="3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>
        <v>12.0</v>
      </c>
      <c r="B14" s="3">
        <v>38.0</v>
      </c>
      <c r="C14" s="5">
        <f t="shared" si="1"/>
        <v>0.75</v>
      </c>
      <c r="D14" s="3"/>
      <c r="E14" s="5">
        <f t="shared" si="2"/>
        <v>0.75</v>
      </c>
      <c r="F14" s="3">
        <v>4.0</v>
      </c>
      <c r="G14" s="5" t="str">
        <f t="shared" si="3"/>
        <v>Y</v>
      </c>
      <c r="H14" s="5">
        <f t="shared" si="4"/>
        <v>0.83</v>
      </c>
      <c r="I14" s="5">
        <f t="shared" si="5"/>
        <v>2.33</v>
      </c>
      <c r="J14" s="3">
        <v>1.0</v>
      </c>
      <c r="K14" s="5">
        <f t="shared" si="6"/>
        <v>2.58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>
        <v>13.0</v>
      </c>
      <c r="B15" s="3">
        <v>10.0</v>
      </c>
      <c r="C15" s="5">
        <f t="shared" si="1"/>
        <v>0.75</v>
      </c>
      <c r="D15" s="3"/>
      <c r="E15" s="5">
        <f t="shared" si="2"/>
        <v>0.75</v>
      </c>
      <c r="F15" s="3">
        <v>3.0</v>
      </c>
      <c r="G15" s="5" t="str">
        <f t="shared" si="3"/>
        <v>Y</v>
      </c>
      <c r="H15" s="5">
        <f t="shared" si="4"/>
        <v>0.83</v>
      </c>
      <c r="I15" s="5">
        <f t="shared" si="5"/>
        <v>2.33</v>
      </c>
      <c r="J15" s="3">
        <v>8.0</v>
      </c>
      <c r="K15" s="5">
        <f t="shared" si="6"/>
        <v>2.58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>
        <v>14.0</v>
      </c>
      <c r="B16" s="3">
        <v>980.0</v>
      </c>
      <c r="C16" s="5">
        <f t="shared" si="1"/>
        <v>4</v>
      </c>
      <c r="D16" s="3"/>
      <c r="E16" s="5">
        <f t="shared" si="2"/>
        <v>4</v>
      </c>
      <c r="F16" s="3">
        <v>2.0</v>
      </c>
      <c r="G16" s="5" t="str">
        <f t="shared" si="3"/>
        <v>Y</v>
      </c>
      <c r="H16" s="5">
        <f t="shared" si="4"/>
        <v>4.08</v>
      </c>
      <c r="I16" s="5">
        <f t="shared" si="5"/>
        <v>7.08</v>
      </c>
      <c r="J16" s="3">
        <v>3.0</v>
      </c>
      <c r="K16" s="5">
        <f t="shared" si="6"/>
        <v>7.33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>
        <v>15.0</v>
      </c>
      <c r="B17" s="3">
        <v>742.0</v>
      </c>
      <c r="C17" s="5">
        <f t="shared" si="1"/>
        <v>1.25</v>
      </c>
      <c r="D17" s="3"/>
      <c r="E17" s="5">
        <f t="shared" si="2"/>
        <v>1.25</v>
      </c>
      <c r="F17" s="3">
        <v>4.0</v>
      </c>
      <c r="G17" s="5" t="str">
        <f t="shared" si="3"/>
        <v>Y</v>
      </c>
      <c r="H17" s="5">
        <f t="shared" si="4"/>
        <v>1.33</v>
      </c>
      <c r="I17" s="5">
        <f t="shared" si="5"/>
        <v>4.33</v>
      </c>
      <c r="J17" s="3">
        <v>7.0</v>
      </c>
      <c r="K17" s="5">
        <f t="shared" si="6"/>
        <v>4.58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>
        <v>16.0</v>
      </c>
      <c r="B18" s="3">
        <v>433.0</v>
      </c>
      <c r="C18" s="5">
        <f t="shared" si="1"/>
        <v>0.75</v>
      </c>
      <c r="D18" s="3"/>
      <c r="E18" s="5">
        <f t="shared" si="2"/>
        <v>0.75</v>
      </c>
      <c r="F18" s="3">
        <v>1.0</v>
      </c>
      <c r="G18" s="5" t="str">
        <f t="shared" si="3"/>
        <v>Y</v>
      </c>
      <c r="H18" s="5">
        <f t="shared" si="4"/>
        <v>0.83</v>
      </c>
      <c r="I18" s="5">
        <f t="shared" si="5"/>
        <v>3.83</v>
      </c>
      <c r="J18" s="3">
        <v>5.0</v>
      </c>
      <c r="K18" s="5">
        <f t="shared" si="6"/>
        <v>4.08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>
        <v>17.0</v>
      </c>
      <c r="B19" s="3">
        <v>408.0</v>
      </c>
      <c r="C19" s="5">
        <f t="shared" si="1"/>
        <v>0.75</v>
      </c>
      <c r="D19" s="3"/>
      <c r="E19" s="5">
        <f t="shared" si="2"/>
        <v>0.75</v>
      </c>
      <c r="F19" s="3">
        <v>3.0</v>
      </c>
      <c r="G19" s="5" t="str">
        <f t="shared" si="3"/>
        <v>Y</v>
      </c>
      <c r="H19" s="5">
        <f t="shared" si="4"/>
        <v>0.83</v>
      </c>
      <c r="I19" s="5">
        <f t="shared" si="5"/>
        <v>3.83</v>
      </c>
      <c r="J19" s="3">
        <v>1.0</v>
      </c>
      <c r="K19" s="5">
        <f t="shared" si="6"/>
        <v>4.08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>
        <v>18.0</v>
      </c>
      <c r="B20" s="3">
        <v>308.0</v>
      </c>
      <c r="C20" s="5">
        <f t="shared" si="1"/>
        <v>0.75</v>
      </c>
      <c r="D20" s="3"/>
      <c r="E20" s="5">
        <f t="shared" si="2"/>
        <v>0.75</v>
      </c>
      <c r="F20" s="3">
        <v>2.0</v>
      </c>
      <c r="G20" s="5" t="str">
        <f t="shared" si="3"/>
        <v>N</v>
      </c>
      <c r="H20" s="5">
        <f t="shared" si="4"/>
        <v>0</v>
      </c>
      <c r="I20" s="5">
        <f t="shared" si="5"/>
        <v>0</v>
      </c>
      <c r="J20" s="3">
        <v>6.0</v>
      </c>
      <c r="K20" s="5">
        <f t="shared" si="6"/>
        <v>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">
        <v>19.0</v>
      </c>
      <c r="B21" s="3">
        <v>819.0</v>
      </c>
      <c r="C21" s="5">
        <f t="shared" si="1"/>
        <v>1.75</v>
      </c>
      <c r="D21" s="3"/>
      <c r="E21" s="5">
        <f t="shared" si="2"/>
        <v>1.75</v>
      </c>
      <c r="F21" s="3">
        <v>1.0</v>
      </c>
      <c r="G21" s="5" t="str">
        <f t="shared" si="3"/>
        <v>Y</v>
      </c>
      <c r="H21" s="5">
        <f t="shared" si="4"/>
        <v>1.83</v>
      </c>
      <c r="I21" s="5">
        <f t="shared" si="5"/>
        <v>4.83</v>
      </c>
      <c r="J21" s="3">
        <v>4.0</v>
      </c>
      <c r="K21" s="5">
        <f t="shared" si="6"/>
        <v>5.08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>
        <v>20.0</v>
      </c>
      <c r="B22" s="3">
        <v>706.0</v>
      </c>
      <c r="C22" s="5">
        <f t="shared" si="1"/>
        <v>1.25</v>
      </c>
      <c r="D22" s="3"/>
      <c r="E22" s="5">
        <f t="shared" si="2"/>
        <v>1.25</v>
      </c>
      <c r="F22" s="3">
        <v>3.0</v>
      </c>
      <c r="G22" s="5" t="str">
        <f t="shared" si="3"/>
        <v>Y</v>
      </c>
      <c r="H22" s="5">
        <f t="shared" si="4"/>
        <v>1.33</v>
      </c>
      <c r="I22" s="5">
        <f t="shared" si="5"/>
        <v>4.33</v>
      </c>
      <c r="J22" s="3">
        <v>3.0</v>
      </c>
      <c r="K22" s="5">
        <f t="shared" si="6"/>
        <v>4.58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">
        <v>21.0</v>
      </c>
      <c r="B23" s="3">
        <v>55.0</v>
      </c>
      <c r="C23" s="5">
        <f t="shared" si="1"/>
        <v>0.75</v>
      </c>
      <c r="D23" s="3"/>
      <c r="E23" s="5">
        <f t="shared" si="2"/>
        <v>0.75</v>
      </c>
      <c r="F23" s="3">
        <v>4.0</v>
      </c>
      <c r="G23" s="5" t="str">
        <f t="shared" si="3"/>
        <v>Y</v>
      </c>
      <c r="H23" s="5">
        <f t="shared" si="4"/>
        <v>0.83</v>
      </c>
      <c r="I23" s="5">
        <f t="shared" si="5"/>
        <v>2.33</v>
      </c>
      <c r="J23" s="3" t="s">
        <v>26</v>
      </c>
      <c r="K23" s="5">
        <f t="shared" si="6"/>
        <v>2.58</v>
      </c>
      <c r="L23" s="3"/>
      <c r="M23" s="5"/>
      <c r="N23" s="3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">
        <v>22.0</v>
      </c>
      <c r="B24" s="3">
        <v>61.0</v>
      </c>
      <c r="C24" s="5">
        <f t="shared" si="1"/>
        <v>0.75</v>
      </c>
      <c r="D24" s="3"/>
      <c r="E24" s="5">
        <f t="shared" si="2"/>
        <v>0.75</v>
      </c>
      <c r="F24" s="3">
        <v>1.0</v>
      </c>
      <c r="G24" s="5" t="str">
        <f t="shared" si="3"/>
        <v>Y</v>
      </c>
      <c r="H24" s="5">
        <f t="shared" si="4"/>
        <v>0.83</v>
      </c>
      <c r="I24" s="5">
        <f t="shared" si="5"/>
        <v>2.33</v>
      </c>
      <c r="J24" s="3" t="s">
        <v>26</v>
      </c>
      <c r="K24" s="5">
        <f t="shared" si="6"/>
        <v>2.58</v>
      </c>
      <c r="L24" s="3"/>
      <c r="M24" s="5"/>
      <c r="N24" s="3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">
        <v>23.0</v>
      </c>
      <c r="B25" s="3">
        <v>809.0</v>
      </c>
      <c r="C25" s="5">
        <f t="shared" si="1"/>
        <v>1.75</v>
      </c>
      <c r="D25" s="3"/>
      <c r="E25" s="5">
        <f t="shared" si="2"/>
        <v>1.75</v>
      </c>
      <c r="F25" s="3">
        <v>2.0</v>
      </c>
      <c r="G25" s="5" t="str">
        <f t="shared" si="3"/>
        <v>Y</v>
      </c>
      <c r="H25" s="5">
        <f t="shared" si="4"/>
        <v>1.83</v>
      </c>
      <c r="I25" s="5">
        <f t="shared" si="5"/>
        <v>4.83</v>
      </c>
      <c r="J25" s="3">
        <v>8.0</v>
      </c>
      <c r="K25" s="5">
        <f t="shared" si="6"/>
        <v>5.08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">
        <v>24.0</v>
      </c>
      <c r="B26" s="3">
        <v>419.0</v>
      </c>
      <c r="C26" s="5">
        <f t="shared" si="1"/>
        <v>0.75</v>
      </c>
      <c r="D26" s="3"/>
      <c r="E26" s="5">
        <f t="shared" si="2"/>
        <v>0.75</v>
      </c>
      <c r="F26" s="3">
        <v>4.0</v>
      </c>
      <c r="G26" s="5" t="str">
        <f t="shared" si="3"/>
        <v>Y</v>
      </c>
      <c r="H26" s="5">
        <f t="shared" si="4"/>
        <v>0.83</v>
      </c>
      <c r="I26" s="5">
        <f t="shared" si="5"/>
        <v>3.83</v>
      </c>
      <c r="J26" s="3">
        <v>2.0</v>
      </c>
      <c r="K26" s="5">
        <f t="shared" si="6"/>
        <v>4.08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">
        <v>25.0</v>
      </c>
      <c r="B27" s="3">
        <v>102.0</v>
      </c>
      <c r="C27" s="5">
        <f t="shared" si="1"/>
        <v>0.75</v>
      </c>
      <c r="D27" s="3"/>
      <c r="E27" s="5">
        <f t="shared" si="2"/>
        <v>0.75</v>
      </c>
      <c r="F27" s="3">
        <v>1.0</v>
      </c>
      <c r="G27" s="5" t="str">
        <f t="shared" si="3"/>
        <v>Y</v>
      </c>
      <c r="H27" s="5">
        <f t="shared" si="4"/>
        <v>0.83</v>
      </c>
      <c r="I27" s="5">
        <f t="shared" si="5"/>
        <v>2.33</v>
      </c>
      <c r="J27" s="3">
        <v>5.0</v>
      </c>
      <c r="K27" s="5">
        <f t="shared" si="6"/>
        <v>2.58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>
        <v>26.0</v>
      </c>
      <c r="B28" s="3">
        <v>667.0</v>
      </c>
      <c r="C28" s="5">
        <f t="shared" si="1"/>
        <v>1.25</v>
      </c>
      <c r="D28" s="3"/>
      <c r="E28" s="5">
        <f t="shared" si="2"/>
        <v>1.25</v>
      </c>
      <c r="F28" s="3">
        <v>4.0</v>
      </c>
      <c r="G28" s="5" t="str">
        <f t="shared" si="3"/>
        <v>Y</v>
      </c>
      <c r="H28" s="5">
        <f t="shared" si="4"/>
        <v>1.33</v>
      </c>
      <c r="I28" s="5">
        <f t="shared" si="5"/>
        <v>4.33</v>
      </c>
      <c r="J28" s="3">
        <v>1.0</v>
      </c>
      <c r="K28" s="5">
        <f t="shared" si="6"/>
        <v>4.58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3">
        <v>27.0</v>
      </c>
      <c r="B29" s="3">
        <v>598.0</v>
      </c>
      <c r="C29" s="5">
        <f t="shared" si="1"/>
        <v>0.75</v>
      </c>
      <c r="D29" s="3"/>
      <c r="E29" s="5">
        <f t="shared" si="2"/>
        <v>0.75</v>
      </c>
      <c r="F29" s="3">
        <v>2.0</v>
      </c>
      <c r="G29" s="5" t="str">
        <f t="shared" si="3"/>
        <v>Y</v>
      </c>
      <c r="H29" s="5">
        <f t="shared" si="4"/>
        <v>0.83</v>
      </c>
      <c r="I29" s="5">
        <f t="shared" si="5"/>
        <v>3.83</v>
      </c>
      <c r="J29" s="3">
        <v>7.0</v>
      </c>
      <c r="K29" s="5">
        <f t="shared" si="6"/>
        <v>4.08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>
        <v>28.0</v>
      </c>
      <c r="B30" s="3">
        <v>113.0</v>
      </c>
      <c r="C30" s="5">
        <f t="shared" si="1"/>
        <v>0.75</v>
      </c>
      <c r="D30" s="3"/>
      <c r="E30" s="5">
        <f t="shared" si="2"/>
        <v>0.75</v>
      </c>
      <c r="F30" s="3">
        <v>2.0</v>
      </c>
      <c r="G30" s="5" t="str">
        <f t="shared" si="3"/>
        <v>Y</v>
      </c>
      <c r="H30" s="5">
        <f t="shared" si="4"/>
        <v>0.83</v>
      </c>
      <c r="I30" s="5">
        <f t="shared" si="5"/>
        <v>2.33</v>
      </c>
      <c r="J30" s="3">
        <v>7.0</v>
      </c>
      <c r="K30" s="5">
        <f t="shared" si="6"/>
        <v>2.58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3">
        <v>29.0</v>
      </c>
      <c r="B31" s="3">
        <v>448.0</v>
      </c>
      <c r="C31" s="5">
        <f t="shared" si="1"/>
        <v>0.75</v>
      </c>
      <c r="D31" s="3"/>
      <c r="E31" s="5">
        <f t="shared" si="2"/>
        <v>0.75</v>
      </c>
      <c r="F31" s="3">
        <v>2.0</v>
      </c>
      <c r="G31" s="5" t="str">
        <f t="shared" si="3"/>
        <v>Y</v>
      </c>
      <c r="H31" s="5">
        <f t="shared" si="4"/>
        <v>0.83</v>
      </c>
      <c r="I31" s="5">
        <f t="shared" si="5"/>
        <v>3.83</v>
      </c>
      <c r="J31" s="3">
        <v>7.0</v>
      </c>
      <c r="K31" s="5">
        <f t="shared" si="6"/>
        <v>4.08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">
        <v>30.0</v>
      </c>
      <c r="B32" s="3">
        <v>911.0</v>
      </c>
      <c r="C32" s="5">
        <f t="shared" si="1"/>
        <v>2.25</v>
      </c>
      <c r="D32" s="3"/>
      <c r="E32" s="5">
        <f t="shared" si="2"/>
        <v>2.25</v>
      </c>
      <c r="F32" s="3">
        <v>2.0</v>
      </c>
      <c r="G32" s="5" t="str">
        <f t="shared" si="3"/>
        <v>Y</v>
      </c>
      <c r="H32" s="5">
        <f t="shared" si="4"/>
        <v>2.33</v>
      </c>
      <c r="I32" s="5">
        <f t="shared" si="5"/>
        <v>5.33</v>
      </c>
      <c r="J32" s="3">
        <v>7.0</v>
      </c>
      <c r="K32" s="5">
        <f t="shared" si="6"/>
        <v>5.58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3">
        <v>31.0</v>
      </c>
      <c r="B33" s="3">
        <v>521.0</v>
      </c>
      <c r="C33" s="5">
        <f t="shared" si="1"/>
        <v>0.75</v>
      </c>
      <c r="D33" s="3"/>
      <c r="E33" s="5">
        <f t="shared" si="2"/>
        <v>0.75</v>
      </c>
      <c r="F33" s="3">
        <v>2.0</v>
      </c>
      <c r="G33" s="5" t="str">
        <f t="shared" si="3"/>
        <v>Y</v>
      </c>
      <c r="H33" s="5">
        <f t="shared" si="4"/>
        <v>0.83</v>
      </c>
      <c r="I33" s="5">
        <f t="shared" si="5"/>
        <v>3.83</v>
      </c>
      <c r="J33" s="3">
        <v>7.0</v>
      </c>
      <c r="K33" s="5">
        <f t="shared" si="6"/>
        <v>4.08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">
        <v>32.0</v>
      </c>
      <c r="B34" s="3">
        <v>656.0</v>
      </c>
      <c r="C34" s="5">
        <f t="shared" si="1"/>
        <v>1.25</v>
      </c>
      <c r="D34" s="3"/>
      <c r="E34" s="5">
        <f t="shared" si="2"/>
        <v>1.25</v>
      </c>
      <c r="F34" s="3">
        <v>2.0</v>
      </c>
      <c r="G34" s="5" t="str">
        <f t="shared" si="3"/>
        <v>Y</v>
      </c>
      <c r="H34" s="5">
        <f t="shared" si="4"/>
        <v>1.33</v>
      </c>
      <c r="I34" s="5">
        <f t="shared" si="5"/>
        <v>4.33</v>
      </c>
      <c r="J34" s="3">
        <v>7.0</v>
      </c>
      <c r="K34" s="5">
        <f t="shared" si="6"/>
        <v>4.58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8.0"/>
    <col customWidth="1" min="2" max="2" width="9.0"/>
    <col customWidth="1" min="3" max="3" width="9.71"/>
    <col customWidth="1" min="4" max="4" width="6.71"/>
    <col customWidth="1" min="5" max="5" width="6.57"/>
    <col customWidth="1" min="6" max="7" width="9.57"/>
    <col customWidth="1" min="8" max="8" width="9.0"/>
    <col customWidth="1" min="9" max="9" width="8.71"/>
    <col customWidth="1" min="10" max="10" width="8.86"/>
    <col customWidth="1" min="11" max="11" width="5.43"/>
    <col customWidth="1" min="12" max="12" width="8.71"/>
    <col customWidth="1" min="13" max="13" width="9.43"/>
    <col customWidth="1" min="14" max="14" width="8.14"/>
    <col customWidth="1" min="15" max="15" width="9.57"/>
    <col customWidth="1" min="16" max="16" width="8.43"/>
    <col customWidth="1" min="17" max="17" width="7.14"/>
    <col customWidth="1" min="18" max="18" width="24.0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3"/>
      <c r="O1" s="3" t="s">
        <v>24</v>
      </c>
      <c r="P1" s="3" t="s">
        <v>25</v>
      </c>
      <c r="Q1" s="4">
        <v>1.0</v>
      </c>
      <c r="R1" s="5" t="str">
        <f t="array" ref="R1:AY12">transpose(A1:L34)</f>
        <v>Patient#</v>
      </c>
      <c r="S1" s="5">
        <v>1.0</v>
      </c>
      <c r="T1" s="5">
        <v>2.0</v>
      </c>
      <c r="U1" s="5">
        <v>3.0</v>
      </c>
      <c r="V1" s="5">
        <v>4.0</v>
      </c>
      <c r="W1" s="5">
        <v>5.0</v>
      </c>
      <c r="X1" s="5">
        <v>6.0</v>
      </c>
      <c r="Y1" s="5">
        <v>7.0</v>
      </c>
      <c r="Z1" s="5">
        <v>8.0</v>
      </c>
      <c r="AA1" s="5">
        <v>9.0</v>
      </c>
      <c r="AB1" s="5">
        <v>10.0</v>
      </c>
      <c r="AC1" s="5">
        <v>11.0</v>
      </c>
      <c r="AD1" s="5">
        <v>12.0</v>
      </c>
      <c r="AE1" s="5">
        <v>13.0</v>
      </c>
      <c r="AF1" s="5">
        <v>14.0</v>
      </c>
      <c r="AG1" s="5">
        <v>15.0</v>
      </c>
      <c r="AH1" s="5">
        <v>16.0</v>
      </c>
      <c r="AI1" s="5">
        <v>17.0</v>
      </c>
      <c r="AJ1" s="5">
        <v>18.0</v>
      </c>
      <c r="AK1" s="5">
        <v>19.0</v>
      </c>
      <c r="AL1" s="5">
        <v>20.0</v>
      </c>
      <c r="AM1" s="5">
        <v>21.0</v>
      </c>
      <c r="AN1" s="5">
        <v>22.0</v>
      </c>
      <c r="AO1" s="5">
        <v>23.0</v>
      </c>
      <c r="AP1" s="5">
        <v>24.0</v>
      </c>
      <c r="AQ1" s="5">
        <v>25.0</v>
      </c>
      <c r="AR1" s="5">
        <v>26.0</v>
      </c>
      <c r="AS1" s="5">
        <v>27.0</v>
      </c>
      <c r="AT1" s="5">
        <v>28.0</v>
      </c>
      <c r="AU1" s="5">
        <v>29.0</v>
      </c>
      <c r="AV1" s="5">
        <v>30.0</v>
      </c>
      <c r="AW1" s="5">
        <v>31.0</v>
      </c>
      <c r="AX1" s="5">
        <v>32.0</v>
      </c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>
      <c r="A2" s="3">
        <v>1.0</v>
      </c>
      <c r="B2" s="3">
        <v>987.0</v>
      </c>
      <c r="C2" s="5">
        <f t="shared" ref="C2:C33" si="1">if(B2&lt;=384,0.5,if(B2&lt;=620,0.75,if(B2&lt;=766,1.25,if(B2&lt;=856,1.75,if(B2&lt;=911,2.25,if(B2&lt;=945,2.75,if(B2&lt;=966,3.25,if(B2&lt;=979,3.75,if(B2&lt;=1000,4)))))))))</f>
        <v>4</v>
      </c>
      <c r="D2" s="3">
        <v>7.5</v>
      </c>
      <c r="E2" s="5">
        <f t="shared" ref="E2:E33" si="2">D2+C2</f>
        <v>11.5</v>
      </c>
      <c r="F2" s="3">
        <v>1.0</v>
      </c>
      <c r="G2" s="3">
        <f t="shared" ref="G2:G33" si="3">E2+0.25</f>
        <v>11.75</v>
      </c>
      <c r="H2" s="5" t="str">
        <f t="shared" ref="H2:H33" si="4">if(AND(242&lt;=B2, B2&lt;=384),"N","Y")</f>
        <v>Y</v>
      </c>
      <c r="I2" s="5">
        <f t="shared" ref="I2:I33" si="5">if(H2="Y", E2+0.08,"--")</f>
        <v>11.58</v>
      </c>
      <c r="J2" s="5">
        <f t="shared" ref="J2:J33" si="6">if(B2&lt;=241,I2+1.5,if(B2&gt;=385,I2+3,"--"))</f>
        <v>14.58</v>
      </c>
      <c r="K2" s="3">
        <v>3.0</v>
      </c>
      <c r="L2" s="5">
        <f t="shared" ref="L2:L33" si="7">if(isnumber(J2),J2+0.25,"--")</f>
        <v>14.83</v>
      </c>
      <c r="M2" s="3">
        <v>1.0</v>
      </c>
      <c r="N2" s="5">
        <f t="shared" ref="N2:N6" si="8">IFERROR(__xludf.DUMMYFUNCTION("sum(query(D2:F1000,""select E where F=""&amp;M2,0))-sum(query(D2:F1000,""select D where F=""&amp;M2,0))"),6.75)</f>
        <v>6.75</v>
      </c>
      <c r="O2" s="3">
        <v>1.0</v>
      </c>
      <c r="P2" s="5" t="str">
        <f t="shared" ref="P2:P13" si="9">IFERROR(__xludf.DUMMYFUNCTION("sum(query(I2:K1000,""select I where J=""&amp;O2,0))-sum(query(I2:K1000,""select H where J=""&amp;O2,0))"),"#N/A")</f>
        <v>#N/A</v>
      </c>
      <c r="Q2" s="4">
        <v>2.0</v>
      </c>
      <c r="R2" s="5" t="s">
        <v>2</v>
      </c>
      <c r="S2" s="5">
        <v>987.0</v>
      </c>
      <c r="T2" s="5">
        <v>52.0</v>
      </c>
      <c r="U2" s="5">
        <v>97.0</v>
      </c>
      <c r="V2" s="5">
        <v>744.0</v>
      </c>
      <c r="W2" s="5">
        <v>409.0</v>
      </c>
      <c r="X2" s="5">
        <v>148.0</v>
      </c>
      <c r="Y2" s="5">
        <v>707.0</v>
      </c>
      <c r="Z2" s="5">
        <v>704.0</v>
      </c>
      <c r="AA2" s="5">
        <v>883.0</v>
      </c>
      <c r="AB2" s="5">
        <v>264.0</v>
      </c>
      <c r="AC2" s="5">
        <v>479.0</v>
      </c>
      <c r="AD2" s="5">
        <v>38.0</v>
      </c>
      <c r="AE2" s="5">
        <v>10.0</v>
      </c>
      <c r="AF2" s="5">
        <v>980.0</v>
      </c>
      <c r="AG2" s="5">
        <v>742.0</v>
      </c>
      <c r="AH2" s="5">
        <v>433.0</v>
      </c>
      <c r="AI2" s="5">
        <v>408.0</v>
      </c>
      <c r="AJ2" s="5">
        <v>308.0</v>
      </c>
      <c r="AK2" s="5">
        <v>819.0</v>
      </c>
      <c r="AL2" s="5">
        <v>706.0</v>
      </c>
      <c r="AM2" s="5">
        <v>55.0</v>
      </c>
      <c r="AN2" s="5">
        <v>61.0</v>
      </c>
      <c r="AO2" s="5">
        <v>809.0</v>
      </c>
      <c r="AP2" s="5">
        <v>419.0</v>
      </c>
      <c r="AQ2" s="5">
        <v>102.0</v>
      </c>
      <c r="AR2" s="5">
        <v>667.0</v>
      </c>
      <c r="AS2" s="5">
        <v>598.0</v>
      </c>
      <c r="AT2" s="5">
        <v>113.0</v>
      </c>
      <c r="AU2" s="5">
        <v>448.0</v>
      </c>
      <c r="AV2" s="5">
        <v>911.0</v>
      </c>
      <c r="AW2" s="5">
        <v>521.0</v>
      </c>
      <c r="AX2" s="5">
        <v>656.0</v>
      </c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</row>
    <row r="3">
      <c r="A3" s="3">
        <v>2.0</v>
      </c>
      <c r="B3" s="3">
        <v>52.0</v>
      </c>
      <c r="C3" s="5">
        <f t="shared" si="1"/>
        <v>0.5</v>
      </c>
      <c r="D3" s="3">
        <v>7.5</v>
      </c>
      <c r="E3" s="5">
        <f t="shared" si="2"/>
        <v>8</v>
      </c>
      <c r="F3" s="3">
        <v>2.0</v>
      </c>
      <c r="G3" s="3">
        <f t="shared" si="3"/>
        <v>8.25</v>
      </c>
      <c r="H3" s="5" t="str">
        <f t="shared" si="4"/>
        <v>Y</v>
      </c>
      <c r="I3" s="5">
        <f t="shared" si="5"/>
        <v>8.08</v>
      </c>
      <c r="J3" s="5">
        <f t="shared" si="6"/>
        <v>9.58</v>
      </c>
      <c r="K3" s="3">
        <v>1.0</v>
      </c>
      <c r="L3" s="5">
        <f t="shared" si="7"/>
        <v>9.83</v>
      </c>
      <c r="M3" s="3">
        <v>2.0</v>
      </c>
      <c r="N3" s="5">
        <f t="shared" si="8"/>
        <v>8.25</v>
      </c>
      <c r="O3" s="3">
        <v>2.0</v>
      </c>
      <c r="P3" s="5">
        <f t="shared" si="9"/>
        <v>9</v>
      </c>
      <c r="Q3" s="4">
        <v>3.0</v>
      </c>
      <c r="R3" s="5" t="s">
        <v>3</v>
      </c>
      <c r="S3" s="5">
        <v>4.0</v>
      </c>
      <c r="T3" s="5">
        <v>0.5</v>
      </c>
      <c r="U3" s="5">
        <v>0.5</v>
      </c>
      <c r="V3" s="5">
        <v>1.25</v>
      </c>
      <c r="W3" s="5">
        <v>0.75</v>
      </c>
      <c r="X3" s="5">
        <v>0.5</v>
      </c>
      <c r="Y3" s="5">
        <v>1.25</v>
      </c>
      <c r="Z3" s="5">
        <v>1.25</v>
      </c>
      <c r="AA3" s="5">
        <v>2.25</v>
      </c>
      <c r="AB3" s="5">
        <v>0.5</v>
      </c>
      <c r="AC3" s="5">
        <v>0.75</v>
      </c>
      <c r="AD3" s="5">
        <v>0.5</v>
      </c>
      <c r="AE3" s="5">
        <v>0.5</v>
      </c>
      <c r="AF3" s="5">
        <v>4.0</v>
      </c>
      <c r="AG3" s="5">
        <v>1.25</v>
      </c>
      <c r="AH3" s="5">
        <v>0.75</v>
      </c>
      <c r="AI3" s="5">
        <v>0.75</v>
      </c>
      <c r="AJ3" s="5">
        <v>0.5</v>
      </c>
      <c r="AK3" s="5">
        <v>1.75</v>
      </c>
      <c r="AL3" s="5">
        <v>1.25</v>
      </c>
      <c r="AM3" s="5">
        <v>0.5</v>
      </c>
      <c r="AN3" s="5">
        <v>0.5</v>
      </c>
      <c r="AO3" s="5">
        <v>1.75</v>
      </c>
      <c r="AP3" s="5">
        <v>0.75</v>
      </c>
      <c r="AQ3" s="5">
        <v>0.5</v>
      </c>
      <c r="AR3" s="5">
        <v>1.25</v>
      </c>
      <c r="AS3" s="5">
        <v>0.75</v>
      </c>
      <c r="AT3" s="5">
        <v>0.5</v>
      </c>
      <c r="AU3" s="5">
        <v>0.75</v>
      </c>
      <c r="AV3" s="5">
        <v>2.25</v>
      </c>
      <c r="AW3" s="5">
        <v>0.75</v>
      </c>
      <c r="AX3" s="5">
        <v>1.25</v>
      </c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</row>
    <row r="4">
      <c r="A4" s="3">
        <v>3.0</v>
      </c>
      <c r="B4" s="3">
        <v>97.0</v>
      </c>
      <c r="C4" s="5">
        <f t="shared" si="1"/>
        <v>0.5</v>
      </c>
      <c r="D4" s="3">
        <v>7.5</v>
      </c>
      <c r="E4" s="5">
        <f t="shared" si="2"/>
        <v>8</v>
      </c>
      <c r="F4" s="3">
        <v>3.0</v>
      </c>
      <c r="G4" s="3">
        <f t="shared" si="3"/>
        <v>8.25</v>
      </c>
      <c r="H4" s="5" t="str">
        <f t="shared" si="4"/>
        <v>Y</v>
      </c>
      <c r="I4" s="5">
        <f t="shared" si="5"/>
        <v>8.08</v>
      </c>
      <c r="J4" s="5">
        <f t="shared" si="6"/>
        <v>9.58</v>
      </c>
      <c r="K4" s="3">
        <v>2.0</v>
      </c>
      <c r="L4" s="5">
        <f t="shared" si="7"/>
        <v>9.83</v>
      </c>
      <c r="M4" s="3">
        <v>3.0</v>
      </c>
      <c r="N4" s="5">
        <f t="shared" si="8"/>
        <v>6.75</v>
      </c>
      <c r="O4" s="3">
        <v>3.0</v>
      </c>
      <c r="P4" s="5">
        <f t="shared" si="9"/>
        <v>6</v>
      </c>
      <c r="Q4" s="4">
        <v>4.0</v>
      </c>
      <c r="R4" s="5" t="s">
        <v>4</v>
      </c>
      <c r="S4" s="5">
        <v>7.5</v>
      </c>
      <c r="T4" s="5">
        <v>7.5</v>
      </c>
      <c r="U4" s="5">
        <v>7.5</v>
      </c>
      <c r="V4" s="5">
        <v>7.5</v>
      </c>
      <c r="W4" s="5">
        <v>7.5</v>
      </c>
      <c r="X4" s="5">
        <v>8.25</v>
      </c>
      <c r="Y4" s="5">
        <v>8.25</v>
      </c>
      <c r="Z4" s="5">
        <v>8.5</v>
      </c>
      <c r="AA4" s="5">
        <v>9.0</v>
      </c>
      <c r="AB4" s="5">
        <v>9.0</v>
      </c>
      <c r="AC4" s="5">
        <v>9.75</v>
      </c>
      <c r="AD4" s="5">
        <v>9.75</v>
      </c>
      <c r="AE4" s="5">
        <v>10.0</v>
      </c>
      <c r="AF4" s="5">
        <v>10.5</v>
      </c>
      <c r="AG4" s="5">
        <v>10.75</v>
      </c>
      <c r="AH4" s="5">
        <v>10.75</v>
      </c>
      <c r="AI4" s="5">
        <v>11.5</v>
      </c>
      <c r="AJ4" s="5">
        <v>11.75</v>
      </c>
      <c r="AK4" s="5">
        <v>11.75</v>
      </c>
      <c r="AL4" s="5">
        <v>12.25</v>
      </c>
      <c r="AM4" s="5">
        <v>12.5</v>
      </c>
      <c r="AN4" s="5">
        <v>12.5</v>
      </c>
      <c r="AO4" s="5">
        <v>13.25</v>
      </c>
      <c r="AP4" s="5">
        <v>13.25</v>
      </c>
      <c r="AQ4" s="5">
        <v>13.75</v>
      </c>
      <c r="AR4" s="5">
        <v>13.75</v>
      </c>
      <c r="AS4" s="5">
        <v>14.25</v>
      </c>
      <c r="AT4" s="5">
        <v>14.5</v>
      </c>
      <c r="AU4" s="5">
        <v>14.75</v>
      </c>
      <c r="AV4" s="5">
        <v>15.25</v>
      </c>
      <c r="AW4" s="5">
        <v>15.25</v>
      </c>
      <c r="AX4" s="5">
        <v>15.25</v>
      </c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</row>
    <row r="5">
      <c r="A5" s="3">
        <v>4.0</v>
      </c>
      <c r="B5" s="3">
        <v>744.0</v>
      </c>
      <c r="C5" s="5">
        <f t="shared" si="1"/>
        <v>1.25</v>
      </c>
      <c r="D5" s="3">
        <v>7.5</v>
      </c>
      <c r="E5" s="5">
        <f t="shared" si="2"/>
        <v>8.75</v>
      </c>
      <c r="F5" s="3">
        <v>4.0</v>
      </c>
      <c r="G5" s="3">
        <f t="shared" si="3"/>
        <v>9</v>
      </c>
      <c r="H5" s="5" t="str">
        <f t="shared" si="4"/>
        <v>Y</v>
      </c>
      <c r="I5" s="5">
        <f t="shared" si="5"/>
        <v>8.83</v>
      </c>
      <c r="J5" s="5">
        <f t="shared" si="6"/>
        <v>11.83</v>
      </c>
      <c r="K5" s="3">
        <v>4.0</v>
      </c>
      <c r="L5" s="5">
        <f t="shared" si="7"/>
        <v>12.08</v>
      </c>
      <c r="M5" s="3">
        <v>4.0</v>
      </c>
      <c r="N5" s="5">
        <f t="shared" si="8"/>
        <v>7</v>
      </c>
      <c r="O5" s="3">
        <v>4.0</v>
      </c>
      <c r="P5" s="5">
        <f t="shared" si="9"/>
        <v>9</v>
      </c>
      <c r="Q5" s="4">
        <v>5.0</v>
      </c>
      <c r="R5" s="5" t="s">
        <v>5</v>
      </c>
      <c r="S5" s="5">
        <v>11.5</v>
      </c>
      <c r="T5" s="5">
        <v>8.0</v>
      </c>
      <c r="U5" s="5">
        <v>8.0</v>
      </c>
      <c r="V5" s="5">
        <v>8.75</v>
      </c>
      <c r="W5" s="5">
        <v>8.25</v>
      </c>
      <c r="X5" s="5">
        <v>8.75</v>
      </c>
      <c r="Y5" s="5">
        <v>9.5</v>
      </c>
      <c r="Z5" s="5">
        <v>9.75</v>
      </c>
      <c r="AA5" s="5">
        <v>11.25</v>
      </c>
      <c r="AB5" s="5">
        <v>9.5</v>
      </c>
      <c r="AC5" s="5">
        <v>10.5</v>
      </c>
      <c r="AD5" s="5">
        <v>10.25</v>
      </c>
      <c r="AE5" s="5">
        <v>10.5</v>
      </c>
      <c r="AF5" s="5">
        <v>14.5</v>
      </c>
      <c r="AG5" s="5">
        <v>12.0</v>
      </c>
      <c r="AH5" s="5">
        <v>11.5</v>
      </c>
      <c r="AI5" s="5">
        <v>12.25</v>
      </c>
      <c r="AJ5" s="5">
        <v>12.25</v>
      </c>
      <c r="AK5" s="5">
        <v>13.5</v>
      </c>
      <c r="AL5" s="5">
        <v>13.5</v>
      </c>
      <c r="AM5" s="5">
        <v>13.0</v>
      </c>
      <c r="AN5" s="5">
        <v>13.0</v>
      </c>
      <c r="AO5" s="5">
        <v>15.0</v>
      </c>
      <c r="AP5" s="5">
        <v>14.0</v>
      </c>
      <c r="AQ5" s="5">
        <v>14.25</v>
      </c>
      <c r="AR5" s="5">
        <v>15.0</v>
      </c>
      <c r="AS5" s="5">
        <v>15.0</v>
      </c>
      <c r="AT5" s="5">
        <v>15.0</v>
      </c>
      <c r="AU5" s="5">
        <v>15.5</v>
      </c>
      <c r="AV5" s="5">
        <v>17.5</v>
      </c>
      <c r="AW5" s="5">
        <v>16.0</v>
      </c>
      <c r="AX5" s="5">
        <v>16.5</v>
      </c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</row>
    <row r="6">
      <c r="A6" s="3">
        <v>5.0</v>
      </c>
      <c r="B6" s="3">
        <v>409.0</v>
      </c>
      <c r="C6" s="5">
        <f t="shared" si="1"/>
        <v>0.75</v>
      </c>
      <c r="D6" s="3">
        <v>7.5</v>
      </c>
      <c r="E6" s="5">
        <f t="shared" si="2"/>
        <v>8.25</v>
      </c>
      <c r="F6" s="3">
        <v>5.0</v>
      </c>
      <c r="G6" s="3">
        <f t="shared" si="3"/>
        <v>8.5</v>
      </c>
      <c r="H6" s="5" t="str">
        <f t="shared" si="4"/>
        <v>Y</v>
      </c>
      <c r="I6" s="5">
        <f t="shared" si="5"/>
        <v>8.33</v>
      </c>
      <c r="J6" s="5">
        <f t="shared" si="6"/>
        <v>11.33</v>
      </c>
      <c r="K6" s="3">
        <v>3.0</v>
      </c>
      <c r="L6" s="5">
        <f t="shared" si="7"/>
        <v>11.58</v>
      </c>
      <c r="M6" s="3">
        <v>5.0</v>
      </c>
      <c r="N6" s="5">
        <f t="shared" si="8"/>
        <v>7.5</v>
      </c>
      <c r="O6" s="3">
        <v>5.0</v>
      </c>
      <c r="P6" s="5">
        <f t="shared" si="9"/>
        <v>7.5</v>
      </c>
      <c r="Q6" s="4">
        <v>6.0</v>
      </c>
      <c r="R6" s="5" t="s">
        <v>6</v>
      </c>
      <c r="S6" s="5">
        <v>1.0</v>
      </c>
      <c r="T6" s="5">
        <v>2.0</v>
      </c>
      <c r="U6" s="5">
        <v>3.0</v>
      </c>
      <c r="V6" s="5">
        <v>4.0</v>
      </c>
      <c r="W6" s="5">
        <v>5.0</v>
      </c>
      <c r="X6" s="5">
        <v>2.0</v>
      </c>
      <c r="Y6" s="5">
        <v>3.0</v>
      </c>
      <c r="Z6" s="5">
        <v>5.0</v>
      </c>
      <c r="AA6" s="5">
        <v>2.0</v>
      </c>
      <c r="AB6" s="5">
        <v>4.0</v>
      </c>
      <c r="AC6" s="5">
        <v>3.0</v>
      </c>
      <c r="AD6" s="5">
        <v>4.0</v>
      </c>
      <c r="AE6" s="5">
        <v>5.0</v>
      </c>
      <c r="AF6" s="5">
        <v>4.0</v>
      </c>
      <c r="AG6" s="5">
        <v>3.0</v>
      </c>
      <c r="AH6" s="5">
        <v>5.0</v>
      </c>
      <c r="AI6" s="5">
        <v>2.0</v>
      </c>
      <c r="AJ6" s="5">
        <v>1.0</v>
      </c>
      <c r="AK6" s="5">
        <v>5.0</v>
      </c>
      <c r="AL6" s="5">
        <v>3.0</v>
      </c>
      <c r="AM6" s="5">
        <v>1.0</v>
      </c>
      <c r="AN6" s="5">
        <v>2.0</v>
      </c>
      <c r="AO6" s="5">
        <v>1.0</v>
      </c>
      <c r="AP6" s="5">
        <v>2.0</v>
      </c>
      <c r="AQ6" s="5">
        <v>3.0</v>
      </c>
      <c r="AR6" s="5">
        <v>5.0</v>
      </c>
      <c r="AS6" s="5">
        <v>2.0</v>
      </c>
      <c r="AT6" s="5">
        <v>3.0</v>
      </c>
      <c r="AU6" s="5">
        <v>4.0</v>
      </c>
      <c r="AV6" s="5">
        <v>2.0</v>
      </c>
      <c r="AW6" s="5">
        <v>3.0</v>
      </c>
      <c r="AX6" s="5">
        <v>5.0</v>
      </c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</row>
    <row r="7">
      <c r="A7" s="3">
        <v>6.0</v>
      </c>
      <c r="B7" s="3">
        <v>148.0</v>
      </c>
      <c r="C7" s="5">
        <f t="shared" si="1"/>
        <v>0.5</v>
      </c>
      <c r="D7" s="3">
        <v>8.25</v>
      </c>
      <c r="E7" s="5">
        <f t="shared" si="2"/>
        <v>8.75</v>
      </c>
      <c r="F7" s="3">
        <v>2.0</v>
      </c>
      <c r="G7" s="3">
        <f t="shared" si="3"/>
        <v>9</v>
      </c>
      <c r="H7" s="5" t="str">
        <f t="shared" si="4"/>
        <v>Y</v>
      </c>
      <c r="I7" s="5">
        <f t="shared" si="5"/>
        <v>8.83</v>
      </c>
      <c r="J7" s="5">
        <f t="shared" si="6"/>
        <v>10.33</v>
      </c>
      <c r="K7" s="3">
        <v>5.0</v>
      </c>
      <c r="L7" s="5">
        <f t="shared" si="7"/>
        <v>10.58</v>
      </c>
      <c r="N7" s="5"/>
      <c r="O7" s="3">
        <v>6.0</v>
      </c>
      <c r="P7" s="5">
        <f t="shared" si="9"/>
        <v>6</v>
      </c>
      <c r="Q7" s="4">
        <v>7.0</v>
      </c>
      <c r="R7" s="5" t="s">
        <v>7</v>
      </c>
      <c r="S7" s="5">
        <v>11.75</v>
      </c>
      <c r="T7" s="5">
        <v>8.25</v>
      </c>
      <c r="U7" s="5">
        <v>8.25</v>
      </c>
      <c r="V7" s="5">
        <v>9.0</v>
      </c>
      <c r="W7" s="5">
        <v>8.5</v>
      </c>
      <c r="X7" s="5">
        <v>9.0</v>
      </c>
      <c r="Y7" s="5">
        <v>9.75</v>
      </c>
      <c r="Z7" s="5">
        <v>10.0</v>
      </c>
      <c r="AA7" s="5">
        <v>11.5</v>
      </c>
      <c r="AB7" s="5">
        <v>9.75</v>
      </c>
      <c r="AC7" s="5">
        <v>10.75</v>
      </c>
      <c r="AD7" s="5">
        <v>10.5</v>
      </c>
      <c r="AE7" s="5">
        <v>10.75</v>
      </c>
      <c r="AF7" s="5">
        <v>14.75</v>
      </c>
      <c r="AG7" s="5">
        <v>12.25</v>
      </c>
      <c r="AH7" s="5">
        <v>11.75</v>
      </c>
      <c r="AI7" s="5">
        <v>12.5</v>
      </c>
      <c r="AJ7" s="5">
        <v>12.5</v>
      </c>
      <c r="AK7" s="5">
        <v>13.75</v>
      </c>
      <c r="AL7" s="5">
        <v>13.75</v>
      </c>
      <c r="AM7" s="5">
        <v>13.25</v>
      </c>
      <c r="AN7" s="5">
        <v>13.25</v>
      </c>
      <c r="AO7" s="5">
        <v>15.25</v>
      </c>
      <c r="AP7" s="5">
        <v>14.25</v>
      </c>
      <c r="AQ7" s="5">
        <v>14.5</v>
      </c>
      <c r="AR7" s="5">
        <v>15.25</v>
      </c>
      <c r="AS7" s="5">
        <v>15.25</v>
      </c>
      <c r="AT7" s="5">
        <v>15.25</v>
      </c>
      <c r="AU7" s="5">
        <v>15.75</v>
      </c>
      <c r="AV7" s="5">
        <v>17.75</v>
      </c>
      <c r="AW7" s="5">
        <v>16.25</v>
      </c>
      <c r="AX7" s="5">
        <v>16.75</v>
      </c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</row>
    <row r="8">
      <c r="A8" s="3">
        <v>7.0</v>
      </c>
      <c r="B8" s="3">
        <v>707.0</v>
      </c>
      <c r="C8" s="5">
        <f t="shared" si="1"/>
        <v>1.25</v>
      </c>
      <c r="D8" s="3">
        <v>8.25</v>
      </c>
      <c r="E8" s="5">
        <f t="shared" si="2"/>
        <v>9.5</v>
      </c>
      <c r="F8" s="3">
        <v>3.0</v>
      </c>
      <c r="G8" s="3">
        <f t="shared" si="3"/>
        <v>9.75</v>
      </c>
      <c r="H8" s="5" t="str">
        <f t="shared" si="4"/>
        <v>Y</v>
      </c>
      <c r="I8" s="5">
        <f t="shared" si="5"/>
        <v>9.58</v>
      </c>
      <c r="J8" s="5">
        <f t="shared" si="6"/>
        <v>12.58</v>
      </c>
      <c r="K8" s="3">
        <v>6.0</v>
      </c>
      <c r="L8" s="5">
        <f t="shared" si="7"/>
        <v>12.83</v>
      </c>
      <c r="M8" s="2" t="s">
        <v>36</v>
      </c>
      <c r="N8" s="5">
        <f>average(N2:N6)</f>
        <v>7.25</v>
      </c>
      <c r="O8" s="3">
        <v>7.0</v>
      </c>
      <c r="P8" s="5">
        <f t="shared" si="9"/>
        <v>1.5</v>
      </c>
      <c r="Q8" s="4">
        <v>8.0</v>
      </c>
      <c r="R8" s="5" t="s">
        <v>8</v>
      </c>
      <c r="S8" s="5" t="s">
        <v>37</v>
      </c>
      <c r="T8" s="5" t="s">
        <v>37</v>
      </c>
      <c r="U8" s="5" t="s">
        <v>37</v>
      </c>
      <c r="V8" s="5" t="s">
        <v>37</v>
      </c>
      <c r="W8" s="5" t="s">
        <v>37</v>
      </c>
      <c r="X8" s="5" t="s">
        <v>37</v>
      </c>
      <c r="Y8" s="5" t="s">
        <v>37</v>
      </c>
      <c r="Z8" s="5" t="s">
        <v>37</v>
      </c>
      <c r="AA8" s="5" t="s">
        <v>37</v>
      </c>
      <c r="AB8" s="5" t="s">
        <v>38</v>
      </c>
      <c r="AC8" s="5" t="s">
        <v>37</v>
      </c>
      <c r="AD8" s="5" t="s">
        <v>37</v>
      </c>
      <c r="AE8" s="5" t="s">
        <v>37</v>
      </c>
      <c r="AF8" s="5" t="s">
        <v>37</v>
      </c>
      <c r="AG8" s="5" t="s">
        <v>37</v>
      </c>
      <c r="AH8" s="5" t="s">
        <v>37</v>
      </c>
      <c r="AI8" s="5" t="s">
        <v>37</v>
      </c>
      <c r="AJ8" s="5" t="s">
        <v>38</v>
      </c>
      <c r="AK8" s="5" t="s">
        <v>37</v>
      </c>
      <c r="AL8" s="5" t="s">
        <v>37</v>
      </c>
      <c r="AM8" s="5" t="s">
        <v>37</v>
      </c>
      <c r="AN8" s="5" t="s">
        <v>37</v>
      </c>
      <c r="AO8" s="5" t="s">
        <v>37</v>
      </c>
      <c r="AP8" s="5" t="s">
        <v>37</v>
      </c>
      <c r="AQ8" s="5" t="s">
        <v>37</v>
      </c>
      <c r="AR8" s="5" t="s">
        <v>37</v>
      </c>
      <c r="AS8" s="5" t="s">
        <v>37</v>
      </c>
      <c r="AT8" s="5" t="s">
        <v>37</v>
      </c>
      <c r="AU8" s="5" t="s">
        <v>37</v>
      </c>
      <c r="AV8" s="5" t="s">
        <v>37</v>
      </c>
      <c r="AW8" s="5" t="s">
        <v>37</v>
      </c>
      <c r="AX8" s="5" t="s">
        <v>37</v>
      </c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</row>
    <row r="9">
      <c r="A9" s="3">
        <v>8.0</v>
      </c>
      <c r="B9" s="3">
        <v>704.0</v>
      </c>
      <c r="C9" s="5">
        <f t="shared" si="1"/>
        <v>1.25</v>
      </c>
      <c r="D9" s="3">
        <v>8.5</v>
      </c>
      <c r="E9" s="5">
        <f t="shared" si="2"/>
        <v>9.75</v>
      </c>
      <c r="F9" s="3">
        <v>5.0</v>
      </c>
      <c r="G9" s="3">
        <f t="shared" si="3"/>
        <v>10</v>
      </c>
      <c r="H9" s="5" t="str">
        <f t="shared" si="4"/>
        <v>Y</v>
      </c>
      <c r="I9" s="5">
        <f t="shared" si="5"/>
        <v>9.83</v>
      </c>
      <c r="J9" s="5">
        <f t="shared" si="6"/>
        <v>12.83</v>
      </c>
      <c r="K9" s="3">
        <v>1.0</v>
      </c>
      <c r="L9" s="5">
        <f t="shared" si="7"/>
        <v>13.08</v>
      </c>
      <c r="N9" s="5"/>
      <c r="O9" s="3">
        <v>8.0</v>
      </c>
      <c r="P9" s="5">
        <f t="shared" si="9"/>
        <v>6</v>
      </c>
      <c r="Q9" s="4">
        <v>9.0</v>
      </c>
      <c r="R9" s="5" t="s">
        <v>9</v>
      </c>
      <c r="S9" s="5">
        <v>11.58</v>
      </c>
      <c r="T9" s="5">
        <v>8.08</v>
      </c>
      <c r="U9" s="5">
        <v>8.08</v>
      </c>
      <c r="V9" s="5">
        <v>8.83</v>
      </c>
      <c r="W9" s="5">
        <v>8.33</v>
      </c>
      <c r="X9" s="5">
        <v>8.83</v>
      </c>
      <c r="Y9" s="5">
        <v>9.58</v>
      </c>
      <c r="Z9" s="5">
        <v>9.83</v>
      </c>
      <c r="AA9" s="5">
        <v>11.33</v>
      </c>
      <c r="AB9" s="5" t="s">
        <v>26</v>
      </c>
      <c r="AC9" s="5">
        <v>10.58</v>
      </c>
      <c r="AD9" s="5">
        <v>10.33</v>
      </c>
      <c r="AE9" s="5">
        <v>10.58</v>
      </c>
      <c r="AF9" s="5">
        <v>14.58</v>
      </c>
      <c r="AG9" s="5">
        <v>12.08</v>
      </c>
      <c r="AH9" s="5">
        <v>11.58</v>
      </c>
      <c r="AI9" s="5">
        <v>12.33</v>
      </c>
      <c r="AJ9" s="5" t="s">
        <v>26</v>
      </c>
      <c r="AK9" s="5">
        <v>13.58</v>
      </c>
      <c r="AL9" s="5">
        <v>13.58</v>
      </c>
      <c r="AM9" s="5">
        <v>13.08</v>
      </c>
      <c r="AN9" s="5">
        <v>13.08</v>
      </c>
      <c r="AO9" s="5">
        <v>15.08</v>
      </c>
      <c r="AP9" s="5">
        <v>14.08</v>
      </c>
      <c r="AQ9" s="5">
        <v>14.33</v>
      </c>
      <c r="AR9" s="5">
        <v>15.08</v>
      </c>
      <c r="AS9" s="5">
        <v>15.08</v>
      </c>
      <c r="AT9" s="5">
        <v>15.08</v>
      </c>
      <c r="AU9" s="5">
        <v>15.58</v>
      </c>
      <c r="AV9" s="5">
        <v>17.58</v>
      </c>
      <c r="AW9" s="5">
        <v>16.08</v>
      </c>
      <c r="AX9" s="5">
        <v>16.58</v>
      </c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</row>
    <row r="10">
      <c r="A10" s="3">
        <v>9.0</v>
      </c>
      <c r="B10" s="3">
        <v>883.0</v>
      </c>
      <c r="C10" s="5">
        <f t="shared" si="1"/>
        <v>2.25</v>
      </c>
      <c r="D10" s="3">
        <v>9.0</v>
      </c>
      <c r="E10" s="5">
        <f t="shared" si="2"/>
        <v>11.25</v>
      </c>
      <c r="F10" s="3">
        <v>2.0</v>
      </c>
      <c r="G10" s="3">
        <f t="shared" si="3"/>
        <v>11.5</v>
      </c>
      <c r="H10" s="5" t="str">
        <f t="shared" si="4"/>
        <v>Y</v>
      </c>
      <c r="I10" s="5">
        <f t="shared" si="5"/>
        <v>11.33</v>
      </c>
      <c r="J10" s="5">
        <f t="shared" si="6"/>
        <v>14.33</v>
      </c>
      <c r="K10" s="3">
        <v>8.0</v>
      </c>
      <c r="L10" s="5">
        <f t="shared" si="7"/>
        <v>14.58</v>
      </c>
      <c r="N10" s="5"/>
      <c r="O10" s="3">
        <v>9.0</v>
      </c>
      <c r="P10" s="5">
        <f t="shared" si="9"/>
        <v>6</v>
      </c>
      <c r="Q10" s="4">
        <v>10.0</v>
      </c>
      <c r="R10" s="5" t="s">
        <v>10</v>
      </c>
      <c r="S10" s="5">
        <v>14.58</v>
      </c>
      <c r="T10" s="5">
        <v>9.58</v>
      </c>
      <c r="U10" s="5">
        <v>9.58</v>
      </c>
      <c r="V10" s="5">
        <v>11.83</v>
      </c>
      <c r="W10" s="5">
        <v>11.33</v>
      </c>
      <c r="X10" s="5">
        <v>10.33</v>
      </c>
      <c r="Y10" s="5">
        <v>12.58</v>
      </c>
      <c r="Z10" s="5">
        <v>12.83</v>
      </c>
      <c r="AA10" s="5">
        <v>14.33</v>
      </c>
      <c r="AB10" s="5" t="s">
        <v>26</v>
      </c>
      <c r="AC10" s="5">
        <v>13.58</v>
      </c>
      <c r="AD10" s="5">
        <v>11.83</v>
      </c>
      <c r="AE10" s="5">
        <v>12.08</v>
      </c>
      <c r="AF10" s="5">
        <v>17.58</v>
      </c>
      <c r="AG10" s="5">
        <v>15.08</v>
      </c>
      <c r="AH10" s="5">
        <v>14.58</v>
      </c>
      <c r="AI10" s="5">
        <v>15.33</v>
      </c>
      <c r="AJ10" s="5" t="s">
        <v>26</v>
      </c>
      <c r="AK10" s="5">
        <v>16.58</v>
      </c>
      <c r="AL10" s="5">
        <v>16.58</v>
      </c>
      <c r="AM10" s="5">
        <v>14.58</v>
      </c>
      <c r="AN10" s="5">
        <v>14.58</v>
      </c>
      <c r="AO10" s="5">
        <v>18.08</v>
      </c>
      <c r="AP10" s="5">
        <v>17.08</v>
      </c>
      <c r="AQ10" s="5">
        <v>15.83</v>
      </c>
      <c r="AR10" s="5">
        <v>18.08</v>
      </c>
      <c r="AS10" s="5">
        <v>18.08</v>
      </c>
      <c r="AT10" s="5">
        <v>16.58</v>
      </c>
      <c r="AU10" s="5">
        <v>18.58</v>
      </c>
      <c r="AV10" s="5">
        <v>20.58</v>
      </c>
      <c r="AW10" s="5">
        <v>19.08</v>
      </c>
      <c r="AX10" s="5">
        <v>19.58</v>
      </c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</row>
    <row r="11">
      <c r="A11" s="3">
        <v>10.0</v>
      </c>
      <c r="B11" s="3">
        <v>264.0</v>
      </c>
      <c r="C11" s="5">
        <f t="shared" si="1"/>
        <v>0.5</v>
      </c>
      <c r="D11" s="3">
        <v>9.0</v>
      </c>
      <c r="E11" s="5">
        <f t="shared" si="2"/>
        <v>9.5</v>
      </c>
      <c r="F11" s="3">
        <v>4.0</v>
      </c>
      <c r="G11" s="3">
        <f t="shared" si="3"/>
        <v>9.75</v>
      </c>
      <c r="H11" s="5" t="str">
        <f t="shared" si="4"/>
        <v>N</v>
      </c>
      <c r="I11" s="5" t="str">
        <f t="shared" si="5"/>
        <v>--</v>
      </c>
      <c r="J11" s="5" t="str">
        <f t="shared" si="6"/>
        <v>--</v>
      </c>
      <c r="K11" s="3"/>
      <c r="L11" s="5" t="str">
        <f t="shared" si="7"/>
        <v>--</v>
      </c>
      <c r="N11" s="5"/>
      <c r="O11" s="3">
        <v>10.0</v>
      </c>
      <c r="P11" s="5">
        <f t="shared" si="9"/>
        <v>3</v>
      </c>
      <c r="Q11" s="4">
        <v>11.0</v>
      </c>
      <c r="R11" s="5" t="s">
        <v>11</v>
      </c>
      <c r="S11" s="5">
        <v>3.0</v>
      </c>
      <c r="T11" s="5">
        <v>1.0</v>
      </c>
      <c r="U11" s="5">
        <v>2.0</v>
      </c>
      <c r="V11" s="5">
        <v>4.0</v>
      </c>
      <c r="W11" s="5">
        <v>3.0</v>
      </c>
      <c r="X11" s="5">
        <v>5.0</v>
      </c>
      <c r="Y11" s="5">
        <v>6.0</v>
      </c>
      <c r="Z11" s="5">
        <v>1.0</v>
      </c>
      <c r="AA11" s="5">
        <v>8.0</v>
      </c>
      <c r="AB11" s="5"/>
      <c r="AC11" s="5">
        <v>5.0</v>
      </c>
      <c r="AD11" s="5">
        <v>2.0</v>
      </c>
      <c r="AE11" s="5">
        <v>7.0</v>
      </c>
      <c r="AF11" s="5"/>
      <c r="AG11" s="5">
        <v>2.0</v>
      </c>
      <c r="AH11" s="5">
        <v>9.0</v>
      </c>
      <c r="AI11" s="5">
        <v>4.0</v>
      </c>
      <c r="AJ11" s="5"/>
      <c r="AK11" s="5">
        <v>10.0</v>
      </c>
      <c r="AL11" s="5">
        <v>5.0</v>
      </c>
      <c r="AM11" s="5">
        <v>6.0</v>
      </c>
      <c r="AN11" s="5">
        <v>1.0</v>
      </c>
      <c r="AO11" s="5">
        <v>1.0</v>
      </c>
      <c r="AP11" s="5">
        <v>11.0</v>
      </c>
      <c r="AQ11" s="5">
        <v>12.0</v>
      </c>
      <c r="AR11" s="5">
        <v>8.0</v>
      </c>
      <c r="AS11" s="5">
        <v>3.0</v>
      </c>
      <c r="AT11" s="5">
        <v>6.0</v>
      </c>
      <c r="AU11" s="5">
        <v>9.0</v>
      </c>
      <c r="AV11" s="5">
        <v>12.0</v>
      </c>
      <c r="AW11" s="5">
        <v>2.0</v>
      </c>
      <c r="AX11" s="5">
        <v>4.0</v>
      </c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</row>
    <row r="12">
      <c r="A12" s="3">
        <v>11.0</v>
      </c>
      <c r="B12" s="3">
        <v>479.0</v>
      </c>
      <c r="C12" s="5">
        <f t="shared" si="1"/>
        <v>0.75</v>
      </c>
      <c r="D12" s="3">
        <v>9.75</v>
      </c>
      <c r="E12" s="5">
        <f t="shared" si="2"/>
        <v>10.5</v>
      </c>
      <c r="F12" s="3">
        <v>3.0</v>
      </c>
      <c r="G12" s="3">
        <f t="shared" si="3"/>
        <v>10.75</v>
      </c>
      <c r="H12" s="5" t="str">
        <f t="shared" si="4"/>
        <v>Y</v>
      </c>
      <c r="I12" s="5">
        <f t="shared" si="5"/>
        <v>10.58</v>
      </c>
      <c r="J12" s="5">
        <f t="shared" si="6"/>
        <v>13.58</v>
      </c>
      <c r="K12" s="3">
        <v>5.0</v>
      </c>
      <c r="L12" s="5">
        <f t="shared" si="7"/>
        <v>13.83</v>
      </c>
      <c r="N12" s="5"/>
      <c r="O12" s="3">
        <v>11.0</v>
      </c>
      <c r="P12" s="5">
        <f t="shared" si="9"/>
        <v>3</v>
      </c>
      <c r="Q12" s="4">
        <v>12.0</v>
      </c>
      <c r="R12" s="5" t="s">
        <v>12</v>
      </c>
      <c r="S12" s="5">
        <v>14.83</v>
      </c>
      <c r="T12" s="5">
        <v>9.83</v>
      </c>
      <c r="U12" s="5">
        <v>9.83</v>
      </c>
      <c r="V12" s="5">
        <v>12.08</v>
      </c>
      <c r="W12" s="5">
        <v>11.58</v>
      </c>
      <c r="X12" s="5">
        <v>10.58</v>
      </c>
      <c r="Y12" s="5">
        <v>12.83</v>
      </c>
      <c r="Z12" s="5">
        <v>13.08</v>
      </c>
      <c r="AA12" s="5">
        <v>14.58</v>
      </c>
      <c r="AB12" s="5" t="s">
        <v>26</v>
      </c>
      <c r="AC12" s="5">
        <v>13.83</v>
      </c>
      <c r="AD12" s="5">
        <v>12.08</v>
      </c>
      <c r="AE12" s="5">
        <v>12.33</v>
      </c>
      <c r="AF12" s="5">
        <v>17.83</v>
      </c>
      <c r="AG12" s="5">
        <v>15.33</v>
      </c>
      <c r="AH12" s="5">
        <v>14.83</v>
      </c>
      <c r="AI12" s="5">
        <v>15.58</v>
      </c>
      <c r="AJ12" s="5" t="s">
        <v>26</v>
      </c>
      <c r="AK12" s="5">
        <v>16.83</v>
      </c>
      <c r="AL12" s="5">
        <v>16.83</v>
      </c>
      <c r="AM12" s="5">
        <v>14.83</v>
      </c>
      <c r="AN12" s="5">
        <v>14.83</v>
      </c>
      <c r="AO12" s="5">
        <v>18.33</v>
      </c>
      <c r="AP12" s="5">
        <v>17.33</v>
      </c>
      <c r="AQ12" s="5">
        <v>16.08</v>
      </c>
      <c r="AR12" s="5">
        <v>18.33</v>
      </c>
      <c r="AS12" s="5">
        <v>18.33</v>
      </c>
      <c r="AT12" s="5">
        <v>16.83</v>
      </c>
      <c r="AU12" s="5">
        <v>18.83</v>
      </c>
      <c r="AV12" s="5">
        <v>20.83</v>
      </c>
      <c r="AW12" s="5">
        <v>19.33</v>
      </c>
      <c r="AX12" s="5">
        <v>19.83</v>
      </c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</row>
    <row r="13">
      <c r="A13" s="3">
        <v>12.0</v>
      </c>
      <c r="B13" s="3">
        <v>38.0</v>
      </c>
      <c r="C13" s="5">
        <f t="shared" si="1"/>
        <v>0.5</v>
      </c>
      <c r="D13" s="3">
        <v>9.75</v>
      </c>
      <c r="E13" s="5">
        <f t="shared" si="2"/>
        <v>10.25</v>
      </c>
      <c r="F13" s="3">
        <v>4.0</v>
      </c>
      <c r="G13" s="3">
        <f t="shared" si="3"/>
        <v>10.5</v>
      </c>
      <c r="H13" s="5" t="str">
        <f t="shared" si="4"/>
        <v>Y</v>
      </c>
      <c r="I13" s="5">
        <f t="shared" si="5"/>
        <v>10.33</v>
      </c>
      <c r="J13" s="5">
        <f t="shared" si="6"/>
        <v>11.83</v>
      </c>
      <c r="K13" s="3">
        <v>2.0</v>
      </c>
      <c r="L13" s="5">
        <f t="shared" si="7"/>
        <v>12.08</v>
      </c>
      <c r="N13" s="5"/>
      <c r="O13" s="3">
        <v>12.0</v>
      </c>
      <c r="P13" s="5">
        <f t="shared" si="9"/>
        <v>4.5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</row>
    <row r="14">
      <c r="A14" s="3">
        <v>13.0</v>
      </c>
      <c r="B14" s="3">
        <v>10.0</v>
      </c>
      <c r="C14" s="5">
        <f t="shared" si="1"/>
        <v>0.5</v>
      </c>
      <c r="D14" s="3">
        <v>10.0</v>
      </c>
      <c r="E14" s="5">
        <f t="shared" si="2"/>
        <v>10.5</v>
      </c>
      <c r="F14" s="3">
        <v>5.0</v>
      </c>
      <c r="G14" s="3">
        <f t="shared" si="3"/>
        <v>10.75</v>
      </c>
      <c r="H14" s="5" t="str">
        <f t="shared" si="4"/>
        <v>Y</v>
      </c>
      <c r="I14" s="5">
        <f t="shared" si="5"/>
        <v>10.58</v>
      </c>
      <c r="J14" s="5">
        <f t="shared" si="6"/>
        <v>12.08</v>
      </c>
      <c r="K14" s="3">
        <v>7.0</v>
      </c>
      <c r="L14" s="5">
        <f t="shared" si="7"/>
        <v>12.33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</row>
    <row r="15">
      <c r="A15" s="3">
        <v>14.0</v>
      </c>
      <c r="B15" s="3">
        <v>980.0</v>
      </c>
      <c r="C15" s="5">
        <f t="shared" si="1"/>
        <v>4</v>
      </c>
      <c r="D15" s="3">
        <v>10.5</v>
      </c>
      <c r="E15" s="5">
        <f t="shared" si="2"/>
        <v>14.5</v>
      </c>
      <c r="F15" s="3">
        <v>4.0</v>
      </c>
      <c r="G15" s="3">
        <f t="shared" si="3"/>
        <v>14.75</v>
      </c>
      <c r="H15" s="5" t="str">
        <f t="shared" si="4"/>
        <v>Y</v>
      </c>
      <c r="I15" s="5">
        <f t="shared" si="5"/>
        <v>14.58</v>
      </c>
      <c r="J15" s="5">
        <f t="shared" si="6"/>
        <v>17.58</v>
      </c>
      <c r="K15" s="3"/>
      <c r="L15" s="5">
        <f t="shared" si="7"/>
        <v>17.83</v>
      </c>
      <c r="M15" s="5"/>
      <c r="N15" s="5"/>
      <c r="O15" s="3" t="s">
        <v>36</v>
      </c>
      <c r="P15" s="5" t="str">
        <f>average(P2:P13)</f>
        <v>#N/A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</row>
    <row r="16">
      <c r="A16" s="3">
        <v>15.0</v>
      </c>
      <c r="B16" s="3">
        <v>742.0</v>
      </c>
      <c r="C16" s="5">
        <f t="shared" si="1"/>
        <v>1.25</v>
      </c>
      <c r="D16" s="3">
        <v>10.75</v>
      </c>
      <c r="E16" s="5">
        <f t="shared" si="2"/>
        <v>12</v>
      </c>
      <c r="F16" s="3">
        <v>3.0</v>
      </c>
      <c r="G16" s="3">
        <f t="shared" si="3"/>
        <v>12.25</v>
      </c>
      <c r="H16" s="5" t="str">
        <f t="shared" si="4"/>
        <v>Y</v>
      </c>
      <c r="I16" s="5">
        <f t="shared" si="5"/>
        <v>12.08</v>
      </c>
      <c r="J16" s="5">
        <f t="shared" si="6"/>
        <v>15.08</v>
      </c>
      <c r="K16" s="3">
        <v>2.0</v>
      </c>
      <c r="L16" s="5">
        <f t="shared" si="7"/>
        <v>15.33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</row>
    <row r="17">
      <c r="A17" s="3">
        <v>16.0</v>
      </c>
      <c r="B17" s="3">
        <v>433.0</v>
      </c>
      <c r="C17" s="5">
        <f t="shared" si="1"/>
        <v>0.75</v>
      </c>
      <c r="D17" s="3">
        <v>10.75</v>
      </c>
      <c r="E17" s="5">
        <f t="shared" si="2"/>
        <v>11.5</v>
      </c>
      <c r="F17" s="3">
        <v>5.0</v>
      </c>
      <c r="G17" s="3">
        <f t="shared" si="3"/>
        <v>11.75</v>
      </c>
      <c r="H17" s="5" t="str">
        <f t="shared" si="4"/>
        <v>Y</v>
      </c>
      <c r="I17" s="5">
        <f t="shared" si="5"/>
        <v>11.58</v>
      </c>
      <c r="J17" s="5">
        <f t="shared" si="6"/>
        <v>14.58</v>
      </c>
      <c r="K17" s="3">
        <v>9.0</v>
      </c>
      <c r="L17" s="5">
        <f t="shared" si="7"/>
        <v>14.83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</row>
    <row r="18">
      <c r="A18" s="3">
        <v>17.0</v>
      </c>
      <c r="B18" s="3">
        <v>408.0</v>
      </c>
      <c r="C18" s="5">
        <f t="shared" si="1"/>
        <v>0.75</v>
      </c>
      <c r="D18" s="3">
        <v>11.5</v>
      </c>
      <c r="E18" s="5">
        <f t="shared" si="2"/>
        <v>12.25</v>
      </c>
      <c r="F18" s="3">
        <v>2.0</v>
      </c>
      <c r="G18" s="3">
        <f t="shared" si="3"/>
        <v>12.5</v>
      </c>
      <c r="H18" s="5" t="str">
        <f t="shared" si="4"/>
        <v>Y</v>
      </c>
      <c r="I18" s="5">
        <f t="shared" si="5"/>
        <v>12.33</v>
      </c>
      <c r="J18" s="5">
        <f t="shared" si="6"/>
        <v>15.33</v>
      </c>
      <c r="K18" s="3">
        <v>4.0</v>
      </c>
      <c r="L18" s="5">
        <f t="shared" si="7"/>
        <v>15.58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</row>
    <row r="19">
      <c r="A19" s="3">
        <v>18.0</v>
      </c>
      <c r="B19" s="3">
        <v>308.0</v>
      </c>
      <c r="C19" s="5">
        <f t="shared" si="1"/>
        <v>0.5</v>
      </c>
      <c r="D19" s="3">
        <v>11.75</v>
      </c>
      <c r="E19" s="5">
        <f t="shared" si="2"/>
        <v>12.25</v>
      </c>
      <c r="F19" s="3">
        <v>1.0</v>
      </c>
      <c r="G19" s="3">
        <f t="shared" si="3"/>
        <v>12.5</v>
      </c>
      <c r="H19" s="5" t="str">
        <f t="shared" si="4"/>
        <v>N</v>
      </c>
      <c r="I19" s="5" t="str">
        <f t="shared" si="5"/>
        <v>--</v>
      </c>
      <c r="J19" s="5" t="str">
        <f t="shared" si="6"/>
        <v>--</v>
      </c>
      <c r="K19" s="3"/>
      <c r="L19" s="5" t="str">
        <f t="shared" si="7"/>
        <v>--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</row>
    <row r="20">
      <c r="A20" s="3">
        <v>19.0</v>
      </c>
      <c r="B20" s="3">
        <v>819.0</v>
      </c>
      <c r="C20" s="5">
        <f t="shared" si="1"/>
        <v>1.75</v>
      </c>
      <c r="D20" s="3">
        <v>11.75</v>
      </c>
      <c r="E20" s="5">
        <f t="shared" si="2"/>
        <v>13.5</v>
      </c>
      <c r="F20" s="3">
        <v>5.0</v>
      </c>
      <c r="G20" s="3">
        <f t="shared" si="3"/>
        <v>13.75</v>
      </c>
      <c r="H20" s="5" t="str">
        <f t="shared" si="4"/>
        <v>Y</v>
      </c>
      <c r="I20" s="5">
        <f t="shared" si="5"/>
        <v>13.58</v>
      </c>
      <c r="J20" s="5">
        <f t="shared" si="6"/>
        <v>16.58</v>
      </c>
      <c r="K20" s="3">
        <v>10.0</v>
      </c>
      <c r="L20" s="5">
        <f t="shared" si="7"/>
        <v>16.83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</row>
    <row r="21">
      <c r="A21" s="3">
        <v>20.0</v>
      </c>
      <c r="B21" s="3">
        <v>706.0</v>
      </c>
      <c r="C21" s="5">
        <f t="shared" si="1"/>
        <v>1.25</v>
      </c>
      <c r="D21" s="3">
        <v>12.25</v>
      </c>
      <c r="E21" s="5">
        <f t="shared" si="2"/>
        <v>13.5</v>
      </c>
      <c r="F21" s="3">
        <v>3.0</v>
      </c>
      <c r="G21" s="3">
        <f t="shared" si="3"/>
        <v>13.75</v>
      </c>
      <c r="H21" s="5" t="str">
        <f t="shared" si="4"/>
        <v>Y</v>
      </c>
      <c r="I21" s="5">
        <f t="shared" si="5"/>
        <v>13.58</v>
      </c>
      <c r="J21" s="5">
        <f t="shared" si="6"/>
        <v>16.58</v>
      </c>
      <c r="K21" s="3">
        <v>5.0</v>
      </c>
      <c r="L21" s="5">
        <f t="shared" si="7"/>
        <v>16.83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</row>
    <row r="22">
      <c r="A22" s="3">
        <v>21.0</v>
      </c>
      <c r="B22" s="3">
        <v>55.0</v>
      </c>
      <c r="C22" s="5">
        <f t="shared" si="1"/>
        <v>0.5</v>
      </c>
      <c r="D22" s="3">
        <v>12.5</v>
      </c>
      <c r="E22" s="5">
        <f t="shared" si="2"/>
        <v>13</v>
      </c>
      <c r="F22" s="3">
        <v>1.0</v>
      </c>
      <c r="G22" s="3">
        <f t="shared" si="3"/>
        <v>13.25</v>
      </c>
      <c r="H22" s="5" t="str">
        <f t="shared" si="4"/>
        <v>Y</v>
      </c>
      <c r="I22" s="5">
        <f t="shared" si="5"/>
        <v>13.08</v>
      </c>
      <c r="J22" s="5">
        <f t="shared" si="6"/>
        <v>14.58</v>
      </c>
      <c r="K22" s="3">
        <v>6.0</v>
      </c>
      <c r="L22" s="5">
        <f t="shared" si="7"/>
        <v>14.83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</row>
    <row r="23">
      <c r="A23" s="3">
        <v>22.0</v>
      </c>
      <c r="B23" s="3">
        <v>61.0</v>
      </c>
      <c r="C23" s="5">
        <f t="shared" si="1"/>
        <v>0.5</v>
      </c>
      <c r="D23" s="3">
        <v>12.5</v>
      </c>
      <c r="E23" s="5">
        <f t="shared" si="2"/>
        <v>13</v>
      </c>
      <c r="F23" s="3">
        <v>2.0</v>
      </c>
      <c r="G23" s="3">
        <f t="shared" si="3"/>
        <v>13.25</v>
      </c>
      <c r="H23" s="5" t="str">
        <f t="shared" si="4"/>
        <v>Y</v>
      </c>
      <c r="I23" s="5">
        <f t="shared" si="5"/>
        <v>13.08</v>
      </c>
      <c r="J23" s="5">
        <f t="shared" si="6"/>
        <v>14.58</v>
      </c>
      <c r="K23" s="3">
        <v>1.0</v>
      </c>
      <c r="L23" s="5">
        <f t="shared" si="7"/>
        <v>14.83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</row>
    <row r="24">
      <c r="A24" s="3">
        <v>23.0</v>
      </c>
      <c r="B24" s="3">
        <v>809.0</v>
      </c>
      <c r="C24" s="5">
        <f t="shared" si="1"/>
        <v>1.75</v>
      </c>
      <c r="D24" s="3">
        <v>13.25</v>
      </c>
      <c r="E24" s="5">
        <f t="shared" si="2"/>
        <v>15</v>
      </c>
      <c r="F24" s="3">
        <v>1.0</v>
      </c>
      <c r="G24" s="3">
        <f t="shared" si="3"/>
        <v>15.25</v>
      </c>
      <c r="H24" s="5" t="str">
        <f t="shared" si="4"/>
        <v>Y</v>
      </c>
      <c r="I24" s="5">
        <f t="shared" si="5"/>
        <v>15.08</v>
      </c>
      <c r="J24" s="5">
        <f t="shared" si="6"/>
        <v>18.08</v>
      </c>
      <c r="K24" s="3">
        <v>1.0</v>
      </c>
      <c r="L24" s="5">
        <f t="shared" si="7"/>
        <v>18.33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</row>
    <row r="25">
      <c r="A25" s="3">
        <v>24.0</v>
      </c>
      <c r="B25" s="3">
        <v>419.0</v>
      </c>
      <c r="C25" s="5">
        <f t="shared" si="1"/>
        <v>0.75</v>
      </c>
      <c r="D25" s="3">
        <v>13.25</v>
      </c>
      <c r="E25" s="5">
        <f t="shared" si="2"/>
        <v>14</v>
      </c>
      <c r="F25" s="3">
        <v>2.0</v>
      </c>
      <c r="G25" s="3">
        <f t="shared" si="3"/>
        <v>14.25</v>
      </c>
      <c r="H25" s="5" t="str">
        <f t="shared" si="4"/>
        <v>Y</v>
      </c>
      <c r="I25" s="5">
        <f t="shared" si="5"/>
        <v>14.08</v>
      </c>
      <c r="J25" s="5">
        <f t="shared" si="6"/>
        <v>17.08</v>
      </c>
      <c r="K25" s="3">
        <v>11.0</v>
      </c>
      <c r="L25" s="5">
        <f t="shared" si="7"/>
        <v>17.33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</row>
    <row r="26">
      <c r="A26" s="3">
        <v>25.0</v>
      </c>
      <c r="B26" s="3">
        <v>102.0</v>
      </c>
      <c r="C26" s="5">
        <f t="shared" si="1"/>
        <v>0.5</v>
      </c>
      <c r="D26" s="3">
        <v>13.75</v>
      </c>
      <c r="E26" s="5">
        <f t="shared" si="2"/>
        <v>14.25</v>
      </c>
      <c r="F26" s="3">
        <v>3.0</v>
      </c>
      <c r="G26" s="3">
        <f t="shared" si="3"/>
        <v>14.5</v>
      </c>
      <c r="H26" s="5" t="str">
        <f t="shared" si="4"/>
        <v>Y</v>
      </c>
      <c r="I26" s="5">
        <f t="shared" si="5"/>
        <v>14.33</v>
      </c>
      <c r="J26" s="5">
        <f t="shared" si="6"/>
        <v>15.83</v>
      </c>
      <c r="K26" s="3">
        <v>12.0</v>
      </c>
      <c r="L26" s="5">
        <f t="shared" si="7"/>
        <v>16.08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</row>
    <row r="27">
      <c r="A27" s="3">
        <v>26.0</v>
      </c>
      <c r="B27" s="3">
        <v>667.0</v>
      </c>
      <c r="C27" s="5">
        <f t="shared" si="1"/>
        <v>1.25</v>
      </c>
      <c r="D27" s="3">
        <v>13.75</v>
      </c>
      <c r="E27" s="5">
        <f t="shared" si="2"/>
        <v>15</v>
      </c>
      <c r="F27" s="3">
        <v>5.0</v>
      </c>
      <c r="G27" s="3">
        <f t="shared" si="3"/>
        <v>15.25</v>
      </c>
      <c r="H27" s="5" t="str">
        <f t="shared" si="4"/>
        <v>Y</v>
      </c>
      <c r="I27" s="5">
        <f t="shared" si="5"/>
        <v>15.08</v>
      </c>
      <c r="J27" s="5">
        <f t="shared" si="6"/>
        <v>18.08</v>
      </c>
      <c r="K27" s="3">
        <v>8.0</v>
      </c>
      <c r="L27" s="5">
        <f t="shared" si="7"/>
        <v>18.33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</row>
    <row r="28">
      <c r="A28" s="3">
        <v>27.0</v>
      </c>
      <c r="B28" s="3">
        <v>598.0</v>
      </c>
      <c r="C28" s="5">
        <f t="shared" si="1"/>
        <v>0.75</v>
      </c>
      <c r="D28" s="3">
        <v>14.25</v>
      </c>
      <c r="E28" s="5">
        <f t="shared" si="2"/>
        <v>15</v>
      </c>
      <c r="F28" s="3">
        <v>2.0</v>
      </c>
      <c r="G28" s="3">
        <f t="shared" si="3"/>
        <v>15.25</v>
      </c>
      <c r="H28" s="5" t="str">
        <f t="shared" si="4"/>
        <v>Y</v>
      </c>
      <c r="I28" s="5">
        <f t="shared" si="5"/>
        <v>15.08</v>
      </c>
      <c r="J28" s="5">
        <f t="shared" si="6"/>
        <v>18.08</v>
      </c>
      <c r="K28" s="3">
        <v>3.0</v>
      </c>
      <c r="L28" s="5">
        <f t="shared" si="7"/>
        <v>18.33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</row>
    <row r="29">
      <c r="A29" s="3">
        <v>28.0</v>
      </c>
      <c r="B29" s="3">
        <v>113.0</v>
      </c>
      <c r="C29" s="5">
        <f t="shared" si="1"/>
        <v>0.5</v>
      </c>
      <c r="D29" s="3">
        <v>14.5</v>
      </c>
      <c r="E29" s="5">
        <f t="shared" si="2"/>
        <v>15</v>
      </c>
      <c r="F29" s="3">
        <v>3.0</v>
      </c>
      <c r="G29" s="3">
        <f t="shared" si="3"/>
        <v>15.25</v>
      </c>
      <c r="H29" s="5" t="str">
        <f t="shared" si="4"/>
        <v>Y</v>
      </c>
      <c r="I29" s="5">
        <f t="shared" si="5"/>
        <v>15.08</v>
      </c>
      <c r="J29" s="5">
        <f t="shared" si="6"/>
        <v>16.58</v>
      </c>
      <c r="K29" s="3">
        <v>6.0</v>
      </c>
      <c r="L29" s="5">
        <f t="shared" si="7"/>
        <v>16.83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</row>
    <row r="30">
      <c r="A30" s="3">
        <v>29.0</v>
      </c>
      <c r="B30" s="3">
        <v>448.0</v>
      </c>
      <c r="C30" s="5">
        <f t="shared" si="1"/>
        <v>0.75</v>
      </c>
      <c r="D30" s="3">
        <v>14.75</v>
      </c>
      <c r="E30" s="5">
        <f t="shared" si="2"/>
        <v>15.5</v>
      </c>
      <c r="F30" s="3">
        <v>4.0</v>
      </c>
      <c r="G30" s="3">
        <f t="shared" si="3"/>
        <v>15.75</v>
      </c>
      <c r="H30" s="5" t="str">
        <f t="shared" si="4"/>
        <v>Y</v>
      </c>
      <c r="I30" s="5">
        <f t="shared" si="5"/>
        <v>15.58</v>
      </c>
      <c r="J30" s="5">
        <f t="shared" si="6"/>
        <v>18.58</v>
      </c>
      <c r="K30" s="3">
        <v>9.0</v>
      </c>
      <c r="L30" s="5">
        <f t="shared" si="7"/>
        <v>18.83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</row>
    <row r="31">
      <c r="A31" s="3">
        <v>30.0</v>
      </c>
      <c r="B31" s="3">
        <v>911.0</v>
      </c>
      <c r="C31" s="5">
        <f t="shared" si="1"/>
        <v>2.25</v>
      </c>
      <c r="D31" s="3">
        <v>15.25</v>
      </c>
      <c r="E31" s="5">
        <f t="shared" si="2"/>
        <v>17.5</v>
      </c>
      <c r="F31" s="3">
        <v>2.0</v>
      </c>
      <c r="G31" s="3">
        <f t="shared" si="3"/>
        <v>17.75</v>
      </c>
      <c r="H31" s="5" t="str">
        <f t="shared" si="4"/>
        <v>Y</v>
      </c>
      <c r="I31" s="5">
        <f t="shared" si="5"/>
        <v>17.58</v>
      </c>
      <c r="J31" s="5">
        <f t="shared" si="6"/>
        <v>20.58</v>
      </c>
      <c r="K31" s="3">
        <v>12.0</v>
      </c>
      <c r="L31" s="5">
        <f t="shared" si="7"/>
        <v>20.83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</row>
    <row r="32">
      <c r="A32" s="3">
        <v>31.0</v>
      </c>
      <c r="B32" s="3">
        <v>521.0</v>
      </c>
      <c r="C32" s="5">
        <f t="shared" si="1"/>
        <v>0.75</v>
      </c>
      <c r="D32" s="3">
        <v>15.25</v>
      </c>
      <c r="E32" s="5">
        <f t="shared" si="2"/>
        <v>16</v>
      </c>
      <c r="F32" s="3">
        <v>3.0</v>
      </c>
      <c r="G32" s="3">
        <f t="shared" si="3"/>
        <v>16.25</v>
      </c>
      <c r="H32" s="5" t="str">
        <f t="shared" si="4"/>
        <v>Y</v>
      </c>
      <c r="I32" s="5">
        <f t="shared" si="5"/>
        <v>16.08</v>
      </c>
      <c r="J32" s="5">
        <f t="shared" si="6"/>
        <v>19.08</v>
      </c>
      <c r="K32" s="3">
        <v>2.0</v>
      </c>
      <c r="L32" s="5">
        <f t="shared" si="7"/>
        <v>19.33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</row>
    <row r="33">
      <c r="A33" s="3">
        <v>32.0</v>
      </c>
      <c r="B33" s="3">
        <v>656.0</v>
      </c>
      <c r="C33" s="5">
        <f t="shared" si="1"/>
        <v>1.25</v>
      </c>
      <c r="D33" s="3">
        <v>15.25</v>
      </c>
      <c r="E33" s="5">
        <f t="shared" si="2"/>
        <v>16.5</v>
      </c>
      <c r="F33" s="3">
        <v>5.0</v>
      </c>
      <c r="G33" s="3">
        <f t="shared" si="3"/>
        <v>16.75</v>
      </c>
      <c r="H33" s="5" t="str">
        <f t="shared" si="4"/>
        <v>Y</v>
      </c>
      <c r="I33" s="5">
        <f t="shared" si="5"/>
        <v>16.58</v>
      </c>
      <c r="J33" s="5">
        <f t="shared" si="6"/>
        <v>19.58</v>
      </c>
      <c r="K33" s="3">
        <v>4.0</v>
      </c>
      <c r="L33" s="5">
        <f t="shared" si="7"/>
        <v>19.83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26" width="9.86"/>
  </cols>
  <sheetData>
    <row r="1">
      <c r="A1" s="2" t="s">
        <v>0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9</v>
      </c>
      <c r="J1" s="2" t="s">
        <v>10</v>
      </c>
      <c r="K1" s="2" t="s">
        <v>21</v>
      </c>
      <c r="L1" s="2" t="s">
        <v>22</v>
      </c>
      <c r="N1" s="2" t="s">
        <v>0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23</v>
      </c>
      <c r="T1" s="2" t="s">
        <v>19</v>
      </c>
      <c r="U1" s="2" t="s">
        <v>20</v>
      </c>
      <c r="V1" s="2" t="s">
        <v>9</v>
      </c>
      <c r="W1" s="2" t="s">
        <v>10</v>
      </c>
      <c r="X1" s="2" t="s">
        <v>21</v>
      </c>
      <c r="Y1" s="2" t="s">
        <v>22</v>
      </c>
    </row>
    <row r="2">
      <c r="A2" s="2">
        <v>1.0</v>
      </c>
      <c r="B2" s="2">
        <v>389.0</v>
      </c>
      <c r="C2" s="2">
        <v>0.75</v>
      </c>
      <c r="D2" s="2">
        <v>7.5</v>
      </c>
      <c r="E2" s="2">
        <v>8.25</v>
      </c>
      <c r="F2" s="2">
        <v>1.0</v>
      </c>
      <c r="G2" s="2">
        <v>8.5</v>
      </c>
      <c r="H2" s="2">
        <v>3.0</v>
      </c>
      <c r="I2" s="2">
        <v>8.33</v>
      </c>
      <c r="J2" s="2">
        <v>11.33</v>
      </c>
      <c r="K2" s="2">
        <v>2.0</v>
      </c>
      <c r="L2" s="2">
        <v>11.58</v>
      </c>
      <c r="N2" s="2">
        <v>1.0</v>
      </c>
      <c r="O2" s="2">
        <v>389.0</v>
      </c>
      <c r="P2" s="2">
        <v>0.75</v>
      </c>
      <c r="Q2" s="2">
        <v>7.5</v>
      </c>
      <c r="R2" s="2">
        <v>8.25</v>
      </c>
      <c r="S2" s="2">
        <v>1.0</v>
      </c>
      <c r="T2" s="2">
        <v>8.5</v>
      </c>
      <c r="U2" s="2">
        <v>3.0</v>
      </c>
      <c r="V2" s="2">
        <v>8.33</v>
      </c>
      <c r="W2" s="2">
        <v>11.33</v>
      </c>
      <c r="X2" s="2">
        <v>2.0</v>
      </c>
      <c r="Y2" s="2">
        <v>11.58</v>
      </c>
    </row>
    <row r="3">
      <c r="A3" s="2">
        <v>2.0</v>
      </c>
      <c r="B3" s="2">
        <v>997.0</v>
      </c>
      <c r="C3" s="2">
        <v>4.0</v>
      </c>
      <c r="D3" s="2">
        <v>7.5</v>
      </c>
      <c r="E3" s="2">
        <v>11.5</v>
      </c>
      <c r="F3" s="2">
        <v>2.0</v>
      </c>
      <c r="G3" s="2">
        <v>11.75</v>
      </c>
      <c r="H3" s="2">
        <v>3.0</v>
      </c>
      <c r="I3" s="2">
        <v>11.58</v>
      </c>
      <c r="J3" s="2">
        <v>14.58</v>
      </c>
      <c r="K3" s="2">
        <v>2.0</v>
      </c>
      <c r="L3" s="2">
        <v>14.83</v>
      </c>
      <c r="N3" s="2">
        <v>2.0</v>
      </c>
      <c r="O3" s="2">
        <v>997.0</v>
      </c>
      <c r="P3" s="2">
        <v>4.0</v>
      </c>
      <c r="Q3" s="2">
        <v>7.5</v>
      </c>
      <c r="R3" s="2">
        <v>11.5</v>
      </c>
      <c r="S3" s="2">
        <v>2.0</v>
      </c>
      <c r="T3" s="2">
        <v>11.75</v>
      </c>
      <c r="U3" s="2">
        <v>3.0</v>
      </c>
      <c r="V3" s="2">
        <v>11.58</v>
      </c>
      <c r="W3" s="2">
        <v>14.58</v>
      </c>
      <c r="X3" s="2">
        <v>2.0</v>
      </c>
      <c r="Y3" s="2">
        <v>14.83</v>
      </c>
    </row>
    <row r="4">
      <c r="A4" s="2">
        <v>3.0</v>
      </c>
      <c r="B4" s="2">
        <v>198.0</v>
      </c>
      <c r="C4" s="2">
        <v>0.5</v>
      </c>
      <c r="D4" s="2">
        <v>7.5</v>
      </c>
      <c r="E4" s="2">
        <v>8.0</v>
      </c>
      <c r="F4" s="2">
        <v>3.0</v>
      </c>
      <c r="G4" s="2">
        <v>8.25</v>
      </c>
      <c r="H4" s="2">
        <v>1.5</v>
      </c>
      <c r="I4" s="2">
        <v>8.08</v>
      </c>
      <c r="J4" s="2">
        <v>9.58</v>
      </c>
      <c r="K4" s="2">
        <v>1.0</v>
      </c>
      <c r="L4" s="2">
        <v>9.83</v>
      </c>
      <c r="N4" s="2">
        <v>3.0</v>
      </c>
      <c r="O4" s="2">
        <v>198.0</v>
      </c>
      <c r="P4" s="2">
        <v>0.5</v>
      </c>
      <c r="Q4" s="2">
        <v>7.5</v>
      </c>
      <c r="R4" s="2">
        <v>8.0</v>
      </c>
      <c r="S4" s="2">
        <v>3.0</v>
      </c>
      <c r="T4" s="2">
        <v>8.25</v>
      </c>
      <c r="U4" s="2">
        <v>1.5</v>
      </c>
      <c r="V4" s="2">
        <v>8.08</v>
      </c>
      <c r="W4" s="2">
        <v>9.58</v>
      </c>
      <c r="X4" s="2">
        <v>1.0</v>
      </c>
      <c r="Y4" s="2">
        <v>9.83</v>
      </c>
    </row>
    <row r="5">
      <c r="A5" s="2">
        <v>4.0</v>
      </c>
      <c r="B5" s="2">
        <v>560.0</v>
      </c>
      <c r="C5" s="2">
        <v>0.75</v>
      </c>
      <c r="D5" s="2">
        <v>7.5</v>
      </c>
      <c r="E5" s="2">
        <v>8.25</v>
      </c>
      <c r="F5" s="2">
        <v>4.0</v>
      </c>
      <c r="G5" s="2">
        <v>8.5</v>
      </c>
      <c r="H5" s="2">
        <v>3.0</v>
      </c>
      <c r="I5" s="2">
        <v>8.33</v>
      </c>
      <c r="J5" s="2">
        <v>11.33</v>
      </c>
      <c r="K5" s="2">
        <v>3.0</v>
      </c>
      <c r="L5" s="2">
        <v>11.58</v>
      </c>
      <c r="N5" s="2">
        <v>4.0</v>
      </c>
      <c r="O5" s="2">
        <v>560.0</v>
      </c>
      <c r="P5" s="2">
        <v>0.75</v>
      </c>
      <c r="Q5" s="2">
        <v>7.5</v>
      </c>
      <c r="R5" s="2">
        <v>8.25</v>
      </c>
      <c r="S5" s="2">
        <v>4.0</v>
      </c>
      <c r="T5" s="2">
        <v>8.5</v>
      </c>
      <c r="U5" s="2">
        <v>3.0</v>
      </c>
      <c r="V5" s="2">
        <v>8.33</v>
      </c>
      <c r="W5" s="2">
        <v>11.33</v>
      </c>
      <c r="X5" s="2">
        <v>3.0</v>
      </c>
      <c r="Y5" s="2">
        <v>11.58</v>
      </c>
    </row>
    <row r="6">
      <c r="A6" s="2">
        <v>5.0</v>
      </c>
      <c r="B6" s="2">
        <v>330.0</v>
      </c>
      <c r="C6" s="2">
        <v>0.5</v>
      </c>
      <c r="D6" s="2">
        <v>8.25</v>
      </c>
      <c r="E6" s="2">
        <v>8.75</v>
      </c>
      <c r="F6" s="2">
        <v>3.0</v>
      </c>
      <c r="G6" s="2">
        <v>9.0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N6" s="2">
        <v>5.0</v>
      </c>
      <c r="O6" s="2">
        <v>330.0</v>
      </c>
      <c r="P6" s="2">
        <v>0.5</v>
      </c>
      <c r="Q6" s="2">
        <v>7.5</v>
      </c>
      <c r="R6" s="2">
        <v>8.0</v>
      </c>
      <c r="S6" s="2">
        <v>5.0</v>
      </c>
      <c r="T6" s="2">
        <v>8.25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</row>
    <row r="7">
      <c r="A7" s="2">
        <v>6.0</v>
      </c>
      <c r="B7" s="2">
        <v>852.0</v>
      </c>
      <c r="C7" s="2">
        <v>1.75</v>
      </c>
      <c r="D7" s="2">
        <v>8.5</v>
      </c>
      <c r="E7" s="2">
        <v>10.25</v>
      </c>
      <c r="F7" s="2">
        <v>1.0</v>
      </c>
      <c r="G7" s="2">
        <v>10.5</v>
      </c>
      <c r="H7" s="2">
        <v>3.0</v>
      </c>
      <c r="I7" s="2">
        <v>10.33</v>
      </c>
      <c r="J7" s="2">
        <v>13.33</v>
      </c>
      <c r="K7" s="2">
        <v>1.0</v>
      </c>
      <c r="L7" s="2">
        <v>13.58</v>
      </c>
      <c r="N7" s="2">
        <v>6.0</v>
      </c>
      <c r="O7" s="2">
        <v>852.0</v>
      </c>
      <c r="P7" s="2">
        <v>1.75</v>
      </c>
      <c r="Q7" s="2">
        <v>8.25</v>
      </c>
      <c r="R7" s="2">
        <v>10.0</v>
      </c>
      <c r="S7" s="2">
        <v>3.0</v>
      </c>
      <c r="T7" s="2">
        <v>10.25</v>
      </c>
      <c r="U7" s="2">
        <v>3.0</v>
      </c>
      <c r="V7" s="2">
        <v>10.08</v>
      </c>
      <c r="W7" s="2">
        <v>13.08</v>
      </c>
      <c r="X7" s="2">
        <v>4.0</v>
      </c>
      <c r="Y7" s="2">
        <v>13.33</v>
      </c>
    </row>
    <row r="8">
      <c r="A8" s="2">
        <v>7.0</v>
      </c>
      <c r="B8" s="2">
        <v>901.0</v>
      </c>
      <c r="C8" s="2">
        <v>2.25</v>
      </c>
      <c r="D8" s="2">
        <v>8.5</v>
      </c>
      <c r="E8" s="2">
        <v>10.75</v>
      </c>
      <c r="F8" s="2">
        <v>4.0</v>
      </c>
      <c r="G8" s="2">
        <v>11.0</v>
      </c>
      <c r="H8" s="2">
        <v>3.0</v>
      </c>
      <c r="I8" s="2">
        <v>10.83</v>
      </c>
      <c r="J8" s="2">
        <v>13.83</v>
      </c>
      <c r="K8" s="2">
        <v>5.0</v>
      </c>
      <c r="L8" s="2">
        <v>14.08</v>
      </c>
      <c r="N8" s="2">
        <v>7.0</v>
      </c>
      <c r="O8" s="2">
        <v>901.0</v>
      </c>
      <c r="P8" s="2">
        <v>2.25</v>
      </c>
      <c r="Q8" s="2">
        <v>8.25</v>
      </c>
      <c r="R8" s="2">
        <v>10.5</v>
      </c>
      <c r="S8" s="2">
        <v>5.0</v>
      </c>
      <c r="T8" s="2">
        <v>10.75</v>
      </c>
      <c r="U8" s="2">
        <v>3.0</v>
      </c>
      <c r="V8" s="2">
        <v>10.58</v>
      </c>
      <c r="W8" s="2">
        <v>13.58</v>
      </c>
      <c r="X8" s="2">
        <v>6.0</v>
      </c>
      <c r="Y8" s="2">
        <v>13.83</v>
      </c>
    </row>
    <row r="9">
      <c r="A9" s="2">
        <v>8.0</v>
      </c>
      <c r="B9" s="2">
        <v>757.0</v>
      </c>
      <c r="C9" s="2">
        <v>1.25</v>
      </c>
      <c r="D9" s="2">
        <v>9.0</v>
      </c>
      <c r="E9" s="2">
        <v>10.25</v>
      </c>
      <c r="F9" s="2">
        <v>3.0</v>
      </c>
      <c r="G9" s="2">
        <v>10.5</v>
      </c>
      <c r="H9" s="2">
        <v>3.0</v>
      </c>
      <c r="I9" s="2">
        <v>10.33</v>
      </c>
      <c r="J9" s="2">
        <v>13.33</v>
      </c>
      <c r="K9" s="2">
        <v>4.0</v>
      </c>
      <c r="L9" s="2">
        <v>13.58</v>
      </c>
      <c r="N9" s="2">
        <v>8.0</v>
      </c>
      <c r="O9" s="2">
        <v>757.0</v>
      </c>
      <c r="P9" s="2">
        <v>1.25</v>
      </c>
      <c r="Q9" s="2">
        <v>8.5</v>
      </c>
      <c r="R9" s="2">
        <v>9.75</v>
      </c>
      <c r="S9" s="2">
        <v>1.0</v>
      </c>
      <c r="T9" s="2">
        <v>10.0</v>
      </c>
      <c r="U9" s="2">
        <v>3.0</v>
      </c>
      <c r="V9" s="2">
        <v>9.83</v>
      </c>
      <c r="W9" s="2">
        <v>12.83</v>
      </c>
      <c r="X9" s="2">
        <v>1.0</v>
      </c>
      <c r="Y9" s="2">
        <v>13.08</v>
      </c>
    </row>
    <row r="10">
      <c r="A10" s="2">
        <v>9.0</v>
      </c>
      <c r="B10" s="2">
        <v>769.0</v>
      </c>
      <c r="C10" s="2">
        <v>1.75</v>
      </c>
      <c r="D10" s="2">
        <v>10.5</v>
      </c>
      <c r="E10" s="2">
        <v>12.25</v>
      </c>
      <c r="F10" s="2">
        <v>1.0</v>
      </c>
      <c r="G10" s="2">
        <v>12.5</v>
      </c>
      <c r="H10" s="2">
        <v>3.0</v>
      </c>
      <c r="I10" s="2">
        <v>12.33</v>
      </c>
      <c r="J10" s="2">
        <v>15.33</v>
      </c>
      <c r="K10" s="2">
        <v>6.0</v>
      </c>
      <c r="L10" s="2">
        <v>15.58</v>
      </c>
      <c r="N10" s="2">
        <v>9.0</v>
      </c>
      <c r="O10" s="2">
        <v>769.0</v>
      </c>
      <c r="P10" s="2">
        <v>1.75</v>
      </c>
      <c r="Q10" s="2">
        <v>8.5</v>
      </c>
      <c r="R10" s="2">
        <v>10.25</v>
      </c>
      <c r="S10" s="2">
        <v>4.0</v>
      </c>
      <c r="T10" s="2">
        <v>10.5</v>
      </c>
      <c r="U10" s="2">
        <v>3.0</v>
      </c>
      <c r="V10" s="2">
        <v>10.33</v>
      </c>
      <c r="W10" s="2">
        <v>13.33</v>
      </c>
      <c r="X10" s="2">
        <v>5.0</v>
      </c>
      <c r="Y10" s="2">
        <v>13.58</v>
      </c>
    </row>
    <row r="11">
      <c r="A11" s="2">
        <v>10.0</v>
      </c>
      <c r="B11" s="2">
        <v>707.0</v>
      </c>
      <c r="C11" s="2">
        <v>1.25</v>
      </c>
      <c r="D11" s="2">
        <v>10.5</v>
      </c>
      <c r="E11" s="2">
        <v>11.75</v>
      </c>
      <c r="F11" s="2">
        <v>3.0</v>
      </c>
      <c r="G11" s="2">
        <v>12.0</v>
      </c>
      <c r="H11" s="2">
        <v>3.0</v>
      </c>
      <c r="I11" s="2">
        <v>11.83</v>
      </c>
      <c r="J11" s="2">
        <v>14.83</v>
      </c>
      <c r="K11" s="2">
        <v>3.0</v>
      </c>
      <c r="L11" s="2">
        <v>15.08</v>
      </c>
      <c r="N11" s="2">
        <v>10.0</v>
      </c>
      <c r="O11" s="2">
        <v>707.0</v>
      </c>
      <c r="P11" s="2">
        <v>1.25</v>
      </c>
      <c r="Q11" s="2">
        <v>10.0</v>
      </c>
      <c r="R11" s="2">
        <v>11.25</v>
      </c>
      <c r="S11" s="2">
        <v>1.0</v>
      </c>
      <c r="T11" s="2">
        <v>11.5</v>
      </c>
      <c r="U11" s="2">
        <v>3.0</v>
      </c>
      <c r="V11" s="2">
        <v>11.33</v>
      </c>
      <c r="W11" s="2">
        <v>14.33</v>
      </c>
      <c r="X11" s="2">
        <v>7.0</v>
      </c>
      <c r="Y11" s="2">
        <v>14.58</v>
      </c>
    </row>
    <row r="12">
      <c r="A12" s="2">
        <v>11.0</v>
      </c>
      <c r="B12" s="2">
        <v>745.0</v>
      </c>
      <c r="C12" s="2">
        <v>1.25</v>
      </c>
      <c r="D12" s="2">
        <v>11.0</v>
      </c>
      <c r="E12" s="2">
        <v>12.25</v>
      </c>
      <c r="F12" s="2">
        <v>4.0</v>
      </c>
      <c r="G12" s="2">
        <v>12.5</v>
      </c>
      <c r="H12" s="2">
        <v>3.0</v>
      </c>
      <c r="I12" s="2">
        <v>12.33</v>
      </c>
      <c r="J12" s="2">
        <v>15.33</v>
      </c>
      <c r="K12" s="2">
        <v>7.0</v>
      </c>
      <c r="L12" s="2">
        <v>15.58</v>
      </c>
      <c r="N12" s="2">
        <v>11.0</v>
      </c>
      <c r="O12" s="2">
        <v>745.0</v>
      </c>
      <c r="P12" s="2">
        <v>1.25</v>
      </c>
      <c r="Q12" s="2">
        <v>10.25</v>
      </c>
      <c r="R12" s="2">
        <v>11.5</v>
      </c>
      <c r="S12" s="2">
        <v>3.0</v>
      </c>
      <c r="T12" s="2">
        <v>11.75</v>
      </c>
      <c r="U12" s="2">
        <v>3.0</v>
      </c>
      <c r="V12" s="2">
        <v>11.58</v>
      </c>
      <c r="W12" s="2">
        <v>14.58</v>
      </c>
      <c r="X12" s="2">
        <v>3.0</v>
      </c>
      <c r="Y12" s="2">
        <v>14.83</v>
      </c>
    </row>
    <row r="13">
      <c r="A13" s="2">
        <v>12.0</v>
      </c>
      <c r="B13" s="2">
        <v>784.0</v>
      </c>
      <c r="C13" s="2">
        <v>1.75</v>
      </c>
      <c r="D13" s="2">
        <v>11.75</v>
      </c>
      <c r="E13" s="2">
        <v>13.5</v>
      </c>
      <c r="F13" s="2">
        <v>2.0</v>
      </c>
      <c r="G13" s="2">
        <v>13.75</v>
      </c>
      <c r="H13" s="2">
        <v>3.0</v>
      </c>
      <c r="I13" s="2">
        <v>13.58</v>
      </c>
      <c r="J13" s="2">
        <v>16.58</v>
      </c>
      <c r="K13" s="2">
        <v>1.0</v>
      </c>
      <c r="L13" s="2">
        <v>16.83</v>
      </c>
      <c r="N13" s="2">
        <v>12.0</v>
      </c>
      <c r="O13" s="2">
        <v>784.0</v>
      </c>
      <c r="P13" s="2">
        <v>1.75</v>
      </c>
      <c r="Q13" s="2">
        <v>10.5</v>
      </c>
      <c r="R13" s="2">
        <v>12.25</v>
      </c>
      <c r="S13" s="2">
        <v>4.0</v>
      </c>
      <c r="T13" s="2">
        <v>12.5</v>
      </c>
      <c r="U13" s="2">
        <v>3.0</v>
      </c>
      <c r="V13" s="2">
        <v>12.33</v>
      </c>
      <c r="W13" s="2">
        <v>15.33</v>
      </c>
      <c r="X13" s="2">
        <v>9.0</v>
      </c>
      <c r="Y13" s="2">
        <v>15.58</v>
      </c>
    </row>
    <row r="14">
      <c r="A14" s="2">
        <v>13.0</v>
      </c>
      <c r="B14" s="2">
        <v>608.0</v>
      </c>
      <c r="C14" s="2">
        <v>0.75</v>
      </c>
      <c r="D14" s="2">
        <v>12.0</v>
      </c>
      <c r="E14" s="2">
        <v>12.75</v>
      </c>
      <c r="F14" s="2">
        <v>3.0</v>
      </c>
      <c r="G14" s="2">
        <v>13.0</v>
      </c>
      <c r="H14" s="2">
        <v>3.0</v>
      </c>
      <c r="I14" s="2">
        <v>12.83</v>
      </c>
      <c r="J14" s="2">
        <v>15.83</v>
      </c>
      <c r="K14" s="2">
        <v>8.0</v>
      </c>
      <c r="L14" s="2">
        <v>16.08</v>
      </c>
      <c r="N14" s="2">
        <v>13.0</v>
      </c>
      <c r="O14" s="2">
        <v>608.0</v>
      </c>
      <c r="P14" s="2">
        <v>0.75</v>
      </c>
      <c r="Q14" s="2">
        <v>10.75</v>
      </c>
      <c r="R14" s="2">
        <v>11.5</v>
      </c>
      <c r="S14" s="2">
        <v>5.0</v>
      </c>
      <c r="T14" s="2">
        <v>11.75</v>
      </c>
      <c r="U14" s="2">
        <v>3.0</v>
      </c>
      <c r="V14" s="2">
        <v>11.58</v>
      </c>
      <c r="W14" s="2">
        <v>14.58</v>
      </c>
      <c r="X14" s="2">
        <v>8.0</v>
      </c>
      <c r="Y14" s="2">
        <v>14.83</v>
      </c>
    </row>
    <row r="15">
      <c r="A15" s="2">
        <v>14.0</v>
      </c>
      <c r="B15" s="2">
        <v>796.0</v>
      </c>
      <c r="C15" s="2">
        <v>1.75</v>
      </c>
      <c r="D15" s="2">
        <v>12.5</v>
      </c>
      <c r="E15" s="2">
        <v>14.25</v>
      </c>
      <c r="F15" s="2">
        <v>1.0</v>
      </c>
      <c r="G15" s="2">
        <v>14.5</v>
      </c>
      <c r="H15" s="2">
        <v>3.0</v>
      </c>
      <c r="I15" s="2">
        <v>14.33</v>
      </c>
      <c r="J15" s="2">
        <v>17.33</v>
      </c>
      <c r="K15" s="2">
        <v>4.0</v>
      </c>
      <c r="L15" s="2">
        <v>17.58</v>
      </c>
      <c r="N15" s="2">
        <v>14.0</v>
      </c>
      <c r="O15" s="2">
        <v>796.0</v>
      </c>
      <c r="P15" s="2">
        <v>1.75</v>
      </c>
      <c r="Q15" s="2">
        <v>11.5</v>
      </c>
      <c r="R15" s="2">
        <v>13.25</v>
      </c>
      <c r="S15" s="2">
        <v>1.0</v>
      </c>
      <c r="T15" s="2">
        <v>13.5</v>
      </c>
      <c r="U15" s="2">
        <v>3.0</v>
      </c>
      <c r="V15" s="2">
        <v>13.33</v>
      </c>
      <c r="W15" s="2">
        <v>16.33</v>
      </c>
      <c r="X15" s="2">
        <v>1.0</v>
      </c>
      <c r="Y15" s="2">
        <v>16.58</v>
      </c>
    </row>
    <row r="16">
      <c r="A16" s="2">
        <v>15.0</v>
      </c>
      <c r="B16" s="2">
        <v>794.0</v>
      </c>
      <c r="C16" s="2">
        <v>1.75</v>
      </c>
      <c r="D16" s="2">
        <v>12.5</v>
      </c>
      <c r="E16" s="2">
        <v>14.25</v>
      </c>
      <c r="F16" s="2">
        <v>4.0</v>
      </c>
      <c r="G16" s="2">
        <v>14.5</v>
      </c>
      <c r="H16" s="2">
        <v>3.0</v>
      </c>
      <c r="I16" s="2">
        <v>14.33</v>
      </c>
      <c r="J16" s="2">
        <v>17.33</v>
      </c>
      <c r="K16" s="2">
        <v>5.0</v>
      </c>
      <c r="L16" s="2">
        <v>17.58</v>
      </c>
      <c r="N16" s="2">
        <v>15.0</v>
      </c>
      <c r="O16" s="2">
        <v>794.0</v>
      </c>
      <c r="P16" s="2">
        <v>1.75</v>
      </c>
      <c r="Q16" s="2">
        <v>11.75</v>
      </c>
      <c r="R16" s="2">
        <v>13.5</v>
      </c>
      <c r="S16" s="2">
        <v>2.0</v>
      </c>
      <c r="T16" s="2">
        <v>13.75</v>
      </c>
      <c r="U16" s="2">
        <v>3.0</v>
      </c>
      <c r="V16" s="2">
        <v>13.58</v>
      </c>
      <c r="W16" s="2">
        <v>16.58</v>
      </c>
      <c r="X16" s="2">
        <v>5.0</v>
      </c>
      <c r="Y16" s="2">
        <v>16.83</v>
      </c>
    </row>
    <row r="17">
      <c r="A17" s="2">
        <v>16.0</v>
      </c>
      <c r="B17" s="2">
        <v>260.0</v>
      </c>
      <c r="C17" s="2">
        <v>0.5</v>
      </c>
      <c r="D17" s="2">
        <v>13.0</v>
      </c>
      <c r="E17" s="2">
        <v>13.5</v>
      </c>
      <c r="F17" s="2">
        <v>3.0</v>
      </c>
      <c r="G17" s="2">
        <v>13.75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N17" s="2">
        <v>16.0</v>
      </c>
      <c r="O17" s="2">
        <v>260.0</v>
      </c>
      <c r="P17" s="2">
        <v>0.5</v>
      </c>
      <c r="Q17" s="2">
        <v>11.75</v>
      </c>
      <c r="R17" s="2">
        <v>12.25</v>
      </c>
      <c r="S17" s="2">
        <v>3.0</v>
      </c>
      <c r="T17" s="2">
        <v>12.5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</row>
    <row r="18">
      <c r="A18" s="2">
        <v>17.0</v>
      </c>
      <c r="B18" s="2">
        <v>529.0</v>
      </c>
      <c r="C18" s="2">
        <v>0.75</v>
      </c>
      <c r="D18" s="2">
        <v>13.75</v>
      </c>
      <c r="E18" s="2">
        <v>14.5</v>
      </c>
      <c r="F18" s="2">
        <v>2.0</v>
      </c>
      <c r="G18" s="2">
        <v>14.75</v>
      </c>
      <c r="H18" s="2">
        <v>3.0</v>
      </c>
      <c r="I18" s="2">
        <v>14.58</v>
      </c>
      <c r="J18" s="2">
        <v>17.58</v>
      </c>
      <c r="K18" s="2">
        <v>9.0</v>
      </c>
      <c r="L18" s="2">
        <v>17.83</v>
      </c>
      <c r="N18" s="2">
        <v>17.0</v>
      </c>
      <c r="O18" s="2">
        <v>529.0</v>
      </c>
      <c r="P18" s="2">
        <v>0.75</v>
      </c>
      <c r="Q18" s="2">
        <v>11.75</v>
      </c>
      <c r="R18" s="2">
        <v>12.5</v>
      </c>
      <c r="S18" s="2">
        <v>5.0</v>
      </c>
      <c r="T18" s="2">
        <v>12.75</v>
      </c>
      <c r="U18" s="2">
        <v>3.0</v>
      </c>
      <c r="V18" s="2">
        <v>12.58</v>
      </c>
      <c r="W18" s="2">
        <v>15.58</v>
      </c>
      <c r="X18" s="2">
        <v>10.0</v>
      </c>
      <c r="Y18" s="2">
        <v>15.83</v>
      </c>
    </row>
    <row r="19">
      <c r="A19" s="2">
        <v>18.0</v>
      </c>
      <c r="B19" s="2">
        <v>879.0</v>
      </c>
      <c r="C19" s="2">
        <v>2.25</v>
      </c>
      <c r="D19" s="2">
        <v>13.75</v>
      </c>
      <c r="E19" s="2">
        <v>16.0</v>
      </c>
      <c r="F19" s="2">
        <v>3.0</v>
      </c>
      <c r="G19" s="2">
        <v>16.25</v>
      </c>
      <c r="H19" s="2">
        <v>3.0</v>
      </c>
      <c r="I19" s="2">
        <v>16.08</v>
      </c>
      <c r="J19" s="2">
        <v>19.08</v>
      </c>
      <c r="K19" s="2">
        <v>6.0</v>
      </c>
      <c r="L19" s="2">
        <v>19.33</v>
      </c>
      <c r="N19" s="2">
        <v>18.0</v>
      </c>
      <c r="O19" s="2">
        <v>879.0</v>
      </c>
      <c r="P19" s="2">
        <v>2.25</v>
      </c>
      <c r="Q19" s="2">
        <v>12.5</v>
      </c>
      <c r="R19" s="2">
        <v>14.75</v>
      </c>
      <c r="S19" s="2">
        <v>4.0</v>
      </c>
      <c r="T19" s="2">
        <v>15.0</v>
      </c>
      <c r="U19" s="2">
        <v>3.0</v>
      </c>
      <c r="V19" s="2">
        <v>14.83</v>
      </c>
      <c r="W19" s="2">
        <v>17.83</v>
      </c>
      <c r="X19" s="2">
        <v>7.0</v>
      </c>
      <c r="Y19" s="2">
        <v>18.08</v>
      </c>
    </row>
    <row r="20">
      <c r="A20" s="2">
        <v>19.0</v>
      </c>
      <c r="B20" s="2">
        <v>389.0</v>
      </c>
      <c r="C20" s="2">
        <v>0.75</v>
      </c>
      <c r="D20" s="2">
        <v>14.5</v>
      </c>
      <c r="E20" s="2">
        <v>15.25</v>
      </c>
      <c r="F20" s="2">
        <v>1.0</v>
      </c>
      <c r="G20" s="2">
        <v>15.5</v>
      </c>
      <c r="H20" s="2">
        <v>3.0</v>
      </c>
      <c r="I20" s="2">
        <v>15.33</v>
      </c>
      <c r="J20" s="2">
        <v>18.33</v>
      </c>
      <c r="K20" s="2">
        <v>3.0</v>
      </c>
      <c r="L20" s="2">
        <v>18.58</v>
      </c>
      <c r="N20" s="2">
        <v>19.0</v>
      </c>
      <c r="O20" s="2">
        <v>389.0</v>
      </c>
      <c r="P20" s="2">
        <v>0.75</v>
      </c>
      <c r="Q20" s="2">
        <v>12.5</v>
      </c>
      <c r="R20" s="2">
        <v>13.25</v>
      </c>
      <c r="S20" s="2">
        <v>3.0</v>
      </c>
      <c r="T20" s="2">
        <v>13.5</v>
      </c>
      <c r="U20" s="2">
        <v>3.0</v>
      </c>
      <c r="V20" s="2">
        <v>13.33</v>
      </c>
      <c r="W20" s="2">
        <v>16.33</v>
      </c>
      <c r="X20" s="2">
        <v>4.0</v>
      </c>
      <c r="Y20" s="2">
        <v>16.58</v>
      </c>
    </row>
    <row r="21">
      <c r="A21" s="2">
        <v>20.0</v>
      </c>
      <c r="B21" s="2">
        <v>52.0</v>
      </c>
      <c r="C21" s="2">
        <v>0.5</v>
      </c>
      <c r="D21" s="2">
        <v>14.5</v>
      </c>
      <c r="E21" s="2">
        <v>15.0</v>
      </c>
      <c r="F21" s="2">
        <v>4.0</v>
      </c>
      <c r="G21" s="2">
        <v>15.25</v>
      </c>
      <c r="H21" s="2">
        <v>1.5</v>
      </c>
      <c r="I21" s="2">
        <v>15.08</v>
      </c>
      <c r="J21" s="2">
        <v>16.58</v>
      </c>
      <c r="K21" s="2">
        <v>2.0</v>
      </c>
      <c r="L21" s="2">
        <v>16.83</v>
      </c>
      <c r="N21" s="2">
        <v>20.0</v>
      </c>
      <c r="O21" s="2">
        <v>52.0</v>
      </c>
      <c r="P21" s="2">
        <v>0.5</v>
      </c>
      <c r="Q21" s="2">
        <v>12.75</v>
      </c>
      <c r="R21" s="2">
        <v>13.25</v>
      </c>
      <c r="S21" s="2">
        <v>5.0</v>
      </c>
      <c r="T21" s="2">
        <v>13.5</v>
      </c>
      <c r="U21" s="2">
        <v>1.5</v>
      </c>
      <c r="V21" s="2">
        <v>13.33</v>
      </c>
      <c r="W21" s="2">
        <v>14.83</v>
      </c>
      <c r="X21" s="2">
        <v>11.0</v>
      </c>
      <c r="Y21" s="2">
        <v>15.08</v>
      </c>
    </row>
    <row r="22">
      <c r="A22" s="2">
        <v>21.0</v>
      </c>
      <c r="B22" s="2">
        <v>629.0</v>
      </c>
      <c r="C22" s="2">
        <v>1.25</v>
      </c>
      <c r="D22" s="2">
        <v>14.75</v>
      </c>
      <c r="E22" s="2">
        <v>16.0</v>
      </c>
      <c r="F22" s="2">
        <v>2.0</v>
      </c>
      <c r="G22" s="2">
        <v>16.25</v>
      </c>
      <c r="H22" s="2">
        <v>3.0</v>
      </c>
      <c r="I22" s="2">
        <v>16.08</v>
      </c>
      <c r="J22" s="2">
        <v>19.08</v>
      </c>
      <c r="K22" s="2">
        <v>7.0</v>
      </c>
      <c r="L22" s="2">
        <v>19.33</v>
      </c>
      <c r="N22" s="2">
        <v>21.0</v>
      </c>
      <c r="O22" s="2">
        <v>629.0</v>
      </c>
      <c r="P22" s="2">
        <v>1.25</v>
      </c>
      <c r="Q22" s="2">
        <v>13.5</v>
      </c>
      <c r="R22" s="2">
        <v>14.75</v>
      </c>
      <c r="S22" s="2">
        <v>1.0</v>
      </c>
      <c r="T22" s="2">
        <v>15.0</v>
      </c>
      <c r="U22" s="2">
        <v>3.0</v>
      </c>
      <c r="V22" s="2">
        <v>14.83</v>
      </c>
      <c r="W22" s="2">
        <v>17.83</v>
      </c>
      <c r="X22" s="2">
        <v>2.0</v>
      </c>
      <c r="Y22" s="2">
        <v>18.08</v>
      </c>
    </row>
    <row r="23">
      <c r="A23" s="2">
        <v>22.0</v>
      </c>
      <c r="B23" s="2">
        <v>760.0</v>
      </c>
      <c r="C23" s="2">
        <v>1.25</v>
      </c>
      <c r="D23" s="2">
        <v>15.25</v>
      </c>
      <c r="E23" s="2">
        <v>16.5</v>
      </c>
      <c r="F23" s="2">
        <v>4.0</v>
      </c>
      <c r="G23" s="2">
        <v>16.75</v>
      </c>
      <c r="H23" s="2">
        <v>3.0</v>
      </c>
      <c r="I23" s="2">
        <v>16.58</v>
      </c>
      <c r="J23" s="2">
        <v>19.58</v>
      </c>
      <c r="K23" s="2">
        <v>10.0</v>
      </c>
      <c r="L23" s="2">
        <v>19.83</v>
      </c>
      <c r="N23" s="2">
        <v>22.0</v>
      </c>
      <c r="O23" s="2">
        <v>760.0</v>
      </c>
      <c r="P23" s="2">
        <v>1.25</v>
      </c>
      <c r="Q23" s="2">
        <v>13.5</v>
      </c>
      <c r="R23" s="2">
        <v>14.75</v>
      </c>
      <c r="S23" s="2">
        <v>3.0</v>
      </c>
      <c r="T23" s="2">
        <v>15.0</v>
      </c>
      <c r="U23" s="2">
        <v>3.0</v>
      </c>
      <c r="V23" s="2">
        <v>14.83</v>
      </c>
      <c r="W23" s="2">
        <v>17.83</v>
      </c>
      <c r="X23" s="2">
        <v>3.0</v>
      </c>
      <c r="Y23" s="2">
        <v>18.08</v>
      </c>
    </row>
    <row r="24">
      <c r="A24" s="2">
        <v>23.0</v>
      </c>
      <c r="B24" s="2">
        <v>418.0</v>
      </c>
      <c r="C24" s="2">
        <v>0.75</v>
      </c>
      <c r="D24" s="2">
        <v>15.5</v>
      </c>
      <c r="E24" s="2">
        <v>16.25</v>
      </c>
      <c r="F24" s="2">
        <v>1.0</v>
      </c>
      <c r="G24" s="2">
        <v>16.5</v>
      </c>
      <c r="H24" s="2">
        <v>3.0</v>
      </c>
      <c r="I24" s="2">
        <v>16.33</v>
      </c>
      <c r="J24" s="2">
        <v>19.33</v>
      </c>
      <c r="K24" s="2">
        <v>8.0</v>
      </c>
      <c r="L24" s="2">
        <v>19.58</v>
      </c>
      <c r="N24" s="2">
        <v>23.0</v>
      </c>
      <c r="O24" s="2">
        <v>418.0</v>
      </c>
      <c r="P24" s="2">
        <v>0.75</v>
      </c>
      <c r="Q24" s="2">
        <v>13.5</v>
      </c>
      <c r="R24" s="2">
        <v>14.25</v>
      </c>
      <c r="S24" s="2">
        <v>5.0</v>
      </c>
      <c r="T24" s="2">
        <v>14.5</v>
      </c>
      <c r="U24" s="2">
        <v>3.0</v>
      </c>
      <c r="V24" s="2">
        <v>14.33</v>
      </c>
      <c r="W24" s="2">
        <v>17.33</v>
      </c>
      <c r="X24" s="2">
        <v>6.0</v>
      </c>
      <c r="Y24" s="2">
        <v>17.58</v>
      </c>
    </row>
    <row r="25">
      <c r="A25" s="2">
        <v>24.0</v>
      </c>
      <c r="B25" s="2">
        <v>234.0</v>
      </c>
      <c r="C25" s="2">
        <v>0.5</v>
      </c>
      <c r="D25" s="2">
        <v>16.25</v>
      </c>
      <c r="E25" s="2">
        <v>16.75</v>
      </c>
      <c r="F25" s="2">
        <v>3.0</v>
      </c>
      <c r="G25" s="2">
        <v>17.0</v>
      </c>
      <c r="H25" s="2">
        <v>1.5</v>
      </c>
      <c r="I25" s="2">
        <v>16.83</v>
      </c>
      <c r="J25" s="2">
        <v>18.33</v>
      </c>
      <c r="K25" s="2">
        <v>1.0</v>
      </c>
      <c r="L25" s="2">
        <v>18.58</v>
      </c>
      <c r="N25" s="2">
        <v>24.0</v>
      </c>
      <c r="O25" s="2">
        <v>234.0</v>
      </c>
      <c r="P25" s="2">
        <v>0.5</v>
      </c>
      <c r="Q25" s="2">
        <v>13.75</v>
      </c>
      <c r="R25" s="2">
        <v>14.25</v>
      </c>
      <c r="S25" s="2">
        <v>2.0</v>
      </c>
      <c r="T25" s="2">
        <v>14.5</v>
      </c>
      <c r="U25" s="2">
        <v>1.5</v>
      </c>
      <c r="V25" s="2">
        <v>14.33</v>
      </c>
      <c r="W25" s="2">
        <v>15.83</v>
      </c>
      <c r="X25" s="2">
        <v>12.0</v>
      </c>
      <c r="Y25" s="2">
        <v>16.08</v>
      </c>
    </row>
    <row r="26">
      <c r="A26" s="2">
        <v>25.0</v>
      </c>
      <c r="B26" s="2">
        <v>764.0</v>
      </c>
      <c r="C26" s="2">
        <v>1.25</v>
      </c>
      <c r="D26" s="2">
        <v>16.25</v>
      </c>
      <c r="E26" s="2">
        <v>17.5</v>
      </c>
      <c r="F26" s="2">
        <v>2.0</v>
      </c>
      <c r="G26" s="2">
        <v>17.75</v>
      </c>
      <c r="H26" s="2">
        <v>3.0</v>
      </c>
      <c r="I26" s="2">
        <v>17.58</v>
      </c>
      <c r="J26" s="2">
        <v>20.58</v>
      </c>
      <c r="K26" s="2">
        <v>4.0</v>
      </c>
      <c r="L26" s="2">
        <v>20.83</v>
      </c>
      <c r="N26" s="2">
        <v>25.0</v>
      </c>
      <c r="O26" s="2">
        <v>764.0</v>
      </c>
      <c r="P26" s="2">
        <v>1.25</v>
      </c>
      <c r="Q26" s="2">
        <v>14.5</v>
      </c>
      <c r="R26" s="2">
        <v>15.75</v>
      </c>
      <c r="S26" s="2">
        <v>5.0</v>
      </c>
      <c r="T26" s="2">
        <v>16.0</v>
      </c>
      <c r="U26" s="2">
        <v>3.0</v>
      </c>
      <c r="V26" s="2">
        <v>15.83</v>
      </c>
      <c r="W26" s="2">
        <v>18.83</v>
      </c>
      <c r="X26" s="2">
        <v>11.0</v>
      </c>
      <c r="Y26" s="2">
        <v>19.08</v>
      </c>
    </row>
    <row r="27">
      <c r="A27" s="2">
        <v>26.0</v>
      </c>
      <c r="B27" s="2">
        <v>225.0</v>
      </c>
      <c r="C27" s="2">
        <v>0.5</v>
      </c>
      <c r="D27" s="2">
        <v>16.5</v>
      </c>
      <c r="E27" s="2">
        <v>17.0</v>
      </c>
      <c r="F27" s="2">
        <v>1.0</v>
      </c>
      <c r="G27" s="2">
        <v>17.25</v>
      </c>
      <c r="H27" s="2">
        <v>1.5</v>
      </c>
      <c r="I27" s="2">
        <v>17.08</v>
      </c>
      <c r="J27" s="2">
        <v>18.58</v>
      </c>
      <c r="K27" s="2">
        <v>2.0</v>
      </c>
      <c r="L27" s="2">
        <v>18.83</v>
      </c>
      <c r="N27" s="2">
        <v>26.0</v>
      </c>
      <c r="O27" s="2">
        <v>225.0</v>
      </c>
      <c r="P27" s="2">
        <v>0.5</v>
      </c>
      <c r="Q27" s="2">
        <v>14.5</v>
      </c>
      <c r="R27" s="2">
        <v>15.0</v>
      </c>
      <c r="S27" s="2">
        <v>2.0</v>
      </c>
      <c r="T27" s="2">
        <v>15.25</v>
      </c>
      <c r="U27" s="2">
        <v>1.5</v>
      </c>
      <c r="V27" s="2">
        <v>15.08</v>
      </c>
      <c r="W27" s="2">
        <v>16.58</v>
      </c>
      <c r="X27" s="2">
        <v>8.0</v>
      </c>
      <c r="Y27" s="2">
        <v>16.83</v>
      </c>
    </row>
    <row r="28">
      <c r="A28" s="2">
        <v>27.0</v>
      </c>
      <c r="B28" s="2">
        <v>806.0</v>
      </c>
      <c r="C28" s="2">
        <v>1.75</v>
      </c>
      <c r="D28" s="2">
        <v>16.75</v>
      </c>
      <c r="E28" s="2">
        <v>18.5</v>
      </c>
      <c r="F28" s="2">
        <v>4.0</v>
      </c>
      <c r="G28" s="2">
        <v>18.75</v>
      </c>
      <c r="H28" s="2">
        <v>3.0</v>
      </c>
      <c r="I28" s="2">
        <v>18.58</v>
      </c>
      <c r="J28" s="2">
        <v>21.58</v>
      </c>
      <c r="K28" s="2">
        <v>3.0</v>
      </c>
      <c r="L28" s="2">
        <v>21.83</v>
      </c>
      <c r="N28" s="2">
        <v>27.0</v>
      </c>
      <c r="O28" s="2">
        <v>806.0</v>
      </c>
      <c r="P28" s="2">
        <v>1.75</v>
      </c>
      <c r="Q28" s="2">
        <v>15.0</v>
      </c>
      <c r="R28" s="2">
        <v>16.75</v>
      </c>
      <c r="S28" s="2">
        <v>4.0</v>
      </c>
      <c r="T28" s="2">
        <v>17.0</v>
      </c>
      <c r="U28" s="2">
        <v>3.0</v>
      </c>
      <c r="V28" s="2">
        <v>16.83</v>
      </c>
      <c r="W28" s="2">
        <v>19.83</v>
      </c>
      <c r="X28" s="2">
        <v>12.0</v>
      </c>
      <c r="Y28" s="2">
        <v>20.08</v>
      </c>
    </row>
    <row r="29">
      <c r="A29" s="2">
        <v>28.0</v>
      </c>
      <c r="B29" s="2">
        <v>471.0</v>
      </c>
      <c r="C29" s="2">
        <v>0.75</v>
      </c>
      <c r="D29" s="2">
        <v>17.0</v>
      </c>
      <c r="E29" s="2">
        <v>17.75</v>
      </c>
      <c r="F29" s="2">
        <v>3.0</v>
      </c>
      <c r="G29" s="2">
        <v>18.0</v>
      </c>
      <c r="H29" s="2">
        <v>3.0</v>
      </c>
      <c r="I29" s="2">
        <v>17.83</v>
      </c>
      <c r="J29" s="2">
        <v>20.83</v>
      </c>
      <c r="K29" s="2">
        <v>5.0</v>
      </c>
      <c r="L29" s="2">
        <v>21.08</v>
      </c>
      <c r="N29" s="2">
        <v>28.0</v>
      </c>
      <c r="O29" s="2">
        <v>471.0</v>
      </c>
      <c r="P29" s="2">
        <v>0.75</v>
      </c>
      <c r="Q29" s="2">
        <v>15.0</v>
      </c>
      <c r="R29" s="2">
        <v>15.75</v>
      </c>
      <c r="S29" s="2">
        <v>1.0</v>
      </c>
      <c r="T29" s="2">
        <v>16.0</v>
      </c>
      <c r="U29" s="2">
        <v>3.0</v>
      </c>
      <c r="V29" s="2">
        <v>15.83</v>
      </c>
      <c r="W29" s="2">
        <v>18.83</v>
      </c>
      <c r="X29" s="2">
        <v>9.0</v>
      </c>
      <c r="Y29" s="2">
        <v>19.08</v>
      </c>
    </row>
    <row r="30">
      <c r="A30" s="2">
        <v>29.0</v>
      </c>
      <c r="B30" s="2">
        <v>601.0</v>
      </c>
      <c r="C30" s="2">
        <v>0.75</v>
      </c>
      <c r="D30" s="2">
        <v>17.25</v>
      </c>
      <c r="E30" s="2">
        <v>18.0</v>
      </c>
      <c r="F30" s="2">
        <v>1.0</v>
      </c>
      <c r="G30" s="2">
        <v>18.25</v>
      </c>
      <c r="H30" s="2">
        <v>3.0</v>
      </c>
      <c r="I30" s="2">
        <v>18.08</v>
      </c>
      <c r="J30" s="2">
        <v>21.08</v>
      </c>
      <c r="K30" s="2">
        <v>9.0</v>
      </c>
      <c r="L30" s="2">
        <v>21.33</v>
      </c>
      <c r="N30" s="2">
        <v>29.0</v>
      </c>
      <c r="O30" s="2">
        <v>601.0</v>
      </c>
      <c r="P30" s="2">
        <v>0.75</v>
      </c>
      <c r="Q30" s="2">
        <v>15.0</v>
      </c>
      <c r="R30" s="2">
        <v>15.75</v>
      </c>
      <c r="S30" s="2">
        <v>3.0</v>
      </c>
      <c r="T30" s="2">
        <v>16.0</v>
      </c>
      <c r="U30" s="2">
        <v>3.0</v>
      </c>
      <c r="V30" s="2">
        <v>15.83</v>
      </c>
      <c r="W30" s="2">
        <v>18.83</v>
      </c>
      <c r="X30" s="2">
        <v>10.0</v>
      </c>
      <c r="Y30" s="2">
        <v>19.08</v>
      </c>
    </row>
    <row r="31">
      <c r="A31" s="2">
        <v>30.0</v>
      </c>
      <c r="B31" s="2">
        <v>775.0</v>
      </c>
      <c r="C31" s="2">
        <v>1.75</v>
      </c>
      <c r="D31" s="2">
        <v>17.75</v>
      </c>
      <c r="E31" s="2">
        <v>19.5</v>
      </c>
      <c r="F31" s="2">
        <v>2.0</v>
      </c>
      <c r="G31" s="2">
        <v>19.75</v>
      </c>
      <c r="H31" s="2">
        <v>3.0</v>
      </c>
      <c r="I31" s="2">
        <v>19.58</v>
      </c>
      <c r="J31" s="2">
        <v>22.58</v>
      </c>
      <c r="K31" s="2">
        <v>1.0</v>
      </c>
      <c r="L31" s="2">
        <v>22.83</v>
      </c>
      <c r="N31" s="2">
        <v>30.0</v>
      </c>
      <c r="O31" s="2">
        <v>775.0</v>
      </c>
      <c r="P31" s="2">
        <v>1.75</v>
      </c>
      <c r="Q31" s="2">
        <v>15.25</v>
      </c>
      <c r="R31" s="2">
        <v>17.0</v>
      </c>
      <c r="S31" s="2">
        <v>2.0</v>
      </c>
      <c r="T31" s="2">
        <v>17.25</v>
      </c>
      <c r="U31" s="2">
        <v>3.0</v>
      </c>
      <c r="V31" s="2">
        <v>17.08</v>
      </c>
      <c r="W31" s="2">
        <v>20.08</v>
      </c>
      <c r="X31" s="2">
        <v>1.0</v>
      </c>
      <c r="Y31" s="2">
        <v>20.33</v>
      </c>
    </row>
    <row r="32">
      <c r="A32" s="2">
        <v>31.0</v>
      </c>
      <c r="B32" s="2">
        <v>823.0</v>
      </c>
      <c r="C32" s="2">
        <v>1.75</v>
      </c>
      <c r="D32" s="2">
        <v>18.0</v>
      </c>
      <c r="E32" s="2">
        <v>19.75</v>
      </c>
      <c r="F32" s="2">
        <v>3.0</v>
      </c>
      <c r="G32" s="2">
        <v>20.0</v>
      </c>
      <c r="H32" s="2">
        <v>3.0</v>
      </c>
      <c r="I32" s="2">
        <v>19.83</v>
      </c>
      <c r="J32" s="2">
        <v>22.83</v>
      </c>
      <c r="K32" s="2">
        <v>6.0</v>
      </c>
      <c r="L32" s="2">
        <v>23.08</v>
      </c>
      <c r="N32" s="2">
        <v>31.0</v>
      </c>
      <c r="O32" s="2">
        <v>823.0</v>
      </c>
      <c r="P32" s="2">
        <v>1.75</v>
      </c>
      <c r="Q32" s="2">
        <v>16.0</v>
      </c>
      <c r="R32" s="2">
        <v>17.75</v>
      </c>
      <c r="S32" s="2">
        <v>5.0</v>
      </c>
      <c r="T32" s="2">
        <v>18.0</v>
      </c>
      <c r="U32" s="2">
        <v>3.0</v>
      </c>
      <c r="V32" s="2">
        <v>17.83</v>
      </c>
      <c r="W32" s="2">
        <v>20.83</v>
      </c>
      <c r="X32" s="2">
        <v>5.0</v>
      </c>
      <c r="Y32" s="2">
        <v>21.08</v>
      </c>
    </row>
    <row r="33">
      <c r="A33" s="2">
        <v>32.0</v>
      </c>
      <c r="B33" s="2">
        <v>637.0</v>
      </c>
      <c r="C33" s="2">
        <v>1.25</v>
      </c>
      <c r="D33" s="2">
        <v>18.25</v>
      </c>
      <c r="E33" s="2">
        <v>19.5</v>
      </c>
      <c r="F33" s="2">
        <v>1.0</v>
      </c>
      <c r="G33" s="2">
        <v>19.75</v>
      </c>
      <c r="H33" s="2">
        <v>3.0</v>
      </c>
      <c r="I33" s="2">
        <v>19.58</v>
      </c>
      <c r="J33" s="2">
        <v>22.58</v>
      </c>
      <c r="K33" s="2">
        <v>2.0</v>
      </c>
      <c r="L33" s="2">
        <v>22.83</v>
      </c>
      <c r="N33" s="2">
        <v>32.0</v>
      </c>
      <c r="O33" s="2">
        <v>637.0</v>
      </c>
      <c r="P33" s="2">
        <v>1.25</v>
      </c>
      <c r="Q33" s="2">
        <v>16.0</v>
      </c>
      <c r="R33" s="2">
        <v>17.25</v>
      </c>
      <c r="S33" s="2">
        <v>1.0</v>
      </c>
      <c r="T33" s="2">
        <v>17.5</v>
      </c>
      <c r="U33" s="2">
        <v>3.0</v>
      </c>
      <c r="V33" s="2">
        <v>17.33</v>
      </c>
      <c r="W33" s="2">
        <v>20.33</v>
      </c>
      <c r="X33" s="2">
        <v>4.0</v>
      </c>
      <c r="Y33" s="2">
        <v>20.58</v>
      </c>
    </row>
    <row r="36">
      <c r="A36" s="2">
        <v>8.0</v>
      </c>
      <c r="B36" s="2">
        <v>9.0</v>
      </c>
      <c r="C36" s="2">
        <v>10.0</v>
      </c>
      <c r="D36" s="2">
        <v>11.0</v>
      </c>
      <c r="E36" s="2">
        <v>12.0</v>
      </c>
      <c r="F36" s="2">
        <v>13.0</v>
      </c>
      <c r="G36" s="2">
        <v>14.0</v>
      </c>
      <c r="H36" s="2">
        <v>15.0</v>
      </c>
      <c r="I36" s="2">
        <v>16.0</v>
      </c>
      <c r="J36" s="2">
        <v>17.0</v>
      </c>
      <c r="K36" s="2">
        <v>18.0</v>
      </c>
      <c r="L36" s="2">
        <v>19.0</v>
      </c>
      <c r="M36" s="2">
        <v>20.0</v>
      </c>
      <c r="N36" s="2">
        <v>21.0</v>
      </c>
      <c r="O36" s="2">
        <v>22.0</v>
      </c>
    </row>
    <row r="37">
      <c r="A37" s="2">
        <v>9.0</v>
      </c>
      <c r="B37" s="2">
        <v>10.0</v>
      </c>
      <c r="C37" s="2">
        <v>11.0</v>
      </c>
      <c r="D37" s="2">
        <v>12.0</v>
      </c>
      <c r="E37" s="2">
        <v>13.0</v>
      </c>
      <c r="F37" s="2">
        <v>14.0</v>
      </c>
      <c r="G37" s="2">
        <v>15.0</v>
      </c>
      <c r="H37" s="2">
        <v>16.0</v>
      </c>
      <c r="I37" s="2">
        <v>17.0</v>
      </c>
      <c r="J37" s="2">
        <v>18.0</v>
      </c>
      <c r="K37" s="2">
        <v>19.0</v>
      </c>
      <c r="L37" s="2">
        <v>20.0</v>
      </c>
      <c r="M37" s="2">
        <v>21.0</v>
      </c>
      <c r="N37" s="2">
        <v>22.0</v>
      </c>
      <c r="O37" s="2">
        <v>23.0</v>
      </c>
    </row>
    <row r="38">
      <c r="A38" s="2">
        <v>2.0</v>
      </c>
      <c r="B38" s="2">
        <v>2.0</v>
      </c>
      <c r="C38" s="2">
        <v>2.0</v>
      </c>
      <c r="D38" s="2">
        <v>2.0</v>
      </c>
      <c r="E38" s="2">
        <v>3.0</v>
      </c>
      <c r="F38" s="2">
        <v>2.0</v>
      </c>
      <c r="G38" s="2">
        <v>3.0</v>
      </c>
      <c r="H38" s="2">
        <v>2.0</v>
      </c>
      <c r="I38" s="2">
        <v>4.0</v>
      </c>
      <c r="J38" s="2">
        <v>3.0</v>
      </c>
      <c r="K38" s="2">
        <v>4.0</v>
      </c>
      <c r="L38" s="2">
        <v>3.0</v>
      </c>
      <c r="M38" s="2">
        <v>2.0</v>
      </c>
      <c r="N38" s="2">
        <v>2.0</v>
      </c>
      <c r="O38" s="2">
        <v>2.0</v>
      </c>
    </row>
    <row r="40">
      <c r="A40">
        <f t="array" ref="A40:C54">transpose(A36:O38)</f>
        <v>8</v>
      </c>
      <c r="B40">
        <v>9.0</v>
      </c>
      <c r="C40">
        <v>2.0</v>
      </c>
    </row>
    <row r="41">
      <c r="A41">
        <v>9.0</v>
      </c>
      <c r="B41">
        <v>10.0</v>
      </c>
      <c r="C41">
        <v>2.0</v>
      </c>
      <c r="N41" s="2">
        <v>8.0</v>
      </c>
      <c r="O41" s="2">
        <v>9.0</v>
      </c>
      <c r="P41" s="2">
        <v>10.0</v>
      </c>
      <c r="Q41" s="2">
        <v>11.0</v>
      </c>
      <c r="R41" s="2">
        <v>12.0</v>
      </c>
      <c r="S41" s="2">
        <v>13.0</v>
      </c>
      <c r="T41" s="2">
        <v>14.0</v>
      </c>
      <c r="U41" s="2">
        <v>15.0</v>
      </c>
      <c r="V41" s="2">
        <v>16.0</v>
      </c>
      <c r="W41" s="2">
        <v>17.0</v>
      </c>
      <c r="X41" s="2">
        <v>18.0</v>
      </c>
      <c r="Y41" s="2">
        <v>19.0</v>
      </c>
      <c r="Z41" s="2">
        <v>20.0</v>
      </c>
    </row>
    <row r="42">
      <c r="A42">
        <v>10.0</v>
      </c>
      <c r="B42">
        <v>11.0</v>
      </c>
      <c r="C42">
        <v>2.0</v>
      </c>
      <c r="N42" s="2">
        <v>9.0</v>
      </c>
      <c r="O42" s="2">
        <v>10.0</v>
      </c>
      <c r="P42" s="2">
        <v>11.0</v>
      </c>
      <c r="Q42" s="2">
        <v>12.0</v>
      </c>
      <c r="R42" s="2">
        <v>13.0</v>
      </c>
      <c r="S42" s="2">
        <v>14.0</v>
      </c>
      <c r="T42" s="2">
        <v>15.0</v>
      </c>
      <c r="U42" s="2">
        <v>16.0</v>
      </c>
      <c r="V42" s="2">
        <v>17.0</v>
      </c>
      <c r="W42" s="2">
        <v>18.0</v>
      </c>
      <c r="X42" s="2">
        <v>19.0</v>
      </c>
      <c r="Y42" s="2">
        <v>20.0</v>
      </c>
      <c r="Z42" s="2">
        <v>21.0</v>
      </c>
    </row>
    <row r="43">
      <c r="A43">
        <v>11.0</v>
      </c>
      <c r="B43">
        <v>12.0</v>
      </c>
      <c r="C43">
        <v>2.0</v>
      </c>
      <c r="N43" s="2">
        <v>2.0</v>
      </c>
      <c r="O43" s="2">
        <v>2.0</v>
      </c>
      <c r="P43" s="2">
        <v>2.0</v>
      </c>
      <c r="Q43" s="2">
        <v>3.0</v>
      </c>
      <c r="R43" s="2">
        <v>3.0</v>
      </c>
      <c r="S43" s="2">
        <v>4.0</v>
      </c>
      <c r="T43" s="2">
        <v>4.0</v>
      </c>
      <c r="U43" s="2">
        <v>4.0</v>
      </c>
      <c r="V43" s="2">
        <v>3.0</v>
      </c>
      <c r="W43" s="2">
        <v>3.0</v>
      </c>
      <c r="X43" s="2">
        <v>2.0</v>
      </c>
      <c r="Y43" s="2">
        <v>2.0</v>
      </c>
      <c r="Z43" s="2">
        <v>2.0</v>
      </c>
    </row>
    <row r="44">
      <c r="A44">
        <v>12.0</v>
      </c>
      <c r="B44">
        <v>13.0</v>
      </c>
      <c r="C44">
        <v>3.0</v>
      </c>
    </row>
    <row r="45">
      <c r="A45">
        <v>13.0</v>
      </c>
      <c r="B45">
        <v>14.0</v>
      </c>
      <c r="C45">
        <v>2.0</v>
      </c>
      <c r="N45">
        <f t="array" ref="N45:P57">transpose(N41:Z43)</f>
        <v>8</v>
      </c>
      <c r="O45">
        <v>9.0</v>
      </c>
      <c r="P45">
        <v>2.0</v>
      </c>
    </row>
    <row r="46">
      <c r="A46">
        <v>14.0</v>
      </c>
      <c r="B46">
        <v>15.0</v>
      </c>
      <c r="C46">
        <v>3.0</v>
      </c>
      <c r="N46">
        <v>9.0</v>
      </c>
      <c r="O46">
        <v>10.0</v>
      </c>
      <c r="P46">
        <v>2.0</v>
      </c>
    </row>
    <row r="47">
      <c r="A47">
        <v>15.0</v>
      </c>
      <c r="B47">
        <v>16.0</v>
      </c>
      <c r="C47">
        <v>2.0</v>
      </c>
      <c r="N47">
        <v>10.0</v>
      </c>
      <c r="O47">
        <v>11.0</v>
      </c>
      <c r="P47">
        <v>2.0</v>
      </c>
    </row>
    <row r="48">
      <c r="A48">
        <v>16.0</v>
      </c>
      <c r="B48">
        <v>17.0</v>
      </c>
      <c r="C48">
        <v>4.0</v>
      </c>
      <c r="N48">
        <v>11.0</v>
      </c>
      <c r="O48">
        <v>12.0</v>
      </c>
      <c r="P48">
        <v>3.0</v>
      </c>
    </row>
    <row r="49">
      <c r="A49">
        <v>17.0</v>
      </c>
      <c r="B49">
        <v>18.0</v>
      </c>
      <c r="C49">
        <v>3.0</v>
      </c>
      <c r="N49">
        <v>12.0</v>
      </c>
      <c r="O49">
        <v>13.0</v>
      </c>
      <c r="P49">
        <v>3.0</v>
      </c>
    </row>
    <row r="50">
      <c r="A50">
        <v>18.0</v>
      </c>
      <c r="B50">
        <v>19.0</v>
      </c>
      <c r="C50">
        <v>4.0</v>
      </c>
      <c r="N50">
        <v>13.0</v>
      </c>
      <c r="O50">
        <v>14.0</v>
      </c>
      <c r="P50">
        <v>4.0</v>
      </c>
    </row>
    <row r="51">
      <c r="A51">
        <v>19.0</v>
      </c>
      <c r="B51">
        <v>20.0</v>
      </c>
      <c r="C51">
        <v>3.0</v>
      </c>
      <c r="N51">
        <v>14.0</v>
      </c>
      <c r="O51">
        <v>15.0</v>
      </c>
      <c r="P51">
        <v>4.0</v>
      </c>
    </row>
    <row r="52">
      <c r="A52">
        <v>20.0</v>
      </c>
      <c r="B52">
        <v>21.0</v>
      </c>
      <c r="C52">
        <v>2.0</v>
      </c>
      <c r="N52">
        <v>15.0</v>
      </c>
      <c r="O52">
        <v>16.0</v>
      </c>
      <c r="P52">
        <v>4.0</v>
      </c>
    </row>
    <row r="53">
      <c r="A53">
        <v>21.0</v>
      </c>
      <c r="B53">
        <v>22.0</v>
      </c>
      <c r="C53">
        <v>2.0</v>
      </c>
      <c r="N53">
        <v>16.0</v>
      </c>
      <c r="O53">
        <v>17.0</v>
      </c>
      <c r="P53">
        <v>3.0</v>
      </c>
    </row>
    <row r="54">
      <c r="A54">
        <v>22.0</v>
      </c>
      <c r="B54">
        <v>23.0</v>
      </c>
      <c r="C54">
        <v>2.0</v>
      </c>
      <c r="N54">
        <v>17.0</v>
      </c>
      <c r="O54">
        <v>18.0</v>
      </c>
      <c r="P54">
        <v>3.0</v>
      </c>
    </row>
    <row r="55">
      <c r="N55">
        <v>18.0</v>
      </c>
      <c r="O55">
        <v>19.0</v>
      </c>
      <c r="P55">
        <v>2.0</v>
      </c>
    </row>
    <row r="56">
      <c r="N56">
        <v>19.0</v>
      </c>
      <c r="O56">
        <v>20.0</v>
      </c>
      <c r="P56">
        <v>2.0</v>
      </c>
    </row>
    <row r="57">
      <c r="N57">
        <v>20.0</v>
      </c>
      <c r="O57">
        <v>21.0</v>
      </c>
      <c r="P57">
        <v>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J1" s="2" t="s">
        <v>32</v>
      </c>
    </row>
    <row r="2">
      <c r="A2" s="2" t="s">
        <v>33</v>
      </c>
      <c r="B2">
        <f>pi()*0.25</f>
        <v>0.7853981634</v>
      </c>
      <c r="C2" s="7">
        <f t="shared" ref="C2:C8" si="1">B2/$B$11</f>
        <v>0.001736111111</v>
      </c>
      <c r="D2" s="2">
        <v>50.0</v>
      </c>
    </row>
    <row r="3">
      <c r="A3" s="2" t="s">
        <v>34</v>
      </c>
      <c r="B3">
        <f>pi()*(1-0.25)</f>
        <v>2.35619449</v>
      </c>
      <c r="C3" s="7">
        <f t="shared" si="1"/>
        <v>0.005208333333</v>
      </c>
      <c r="D3" s="2">
        <v>25.0</v>
      </c>
    </row>
    <row r="4">
      <c r="A4" s="2" t="s">
        <v>35</v>
      </c>
      <c r="B4">
        <f>pi()*(5.5^2-5^2)</f>
        <v>16.49336143</v>
      </c>
      <c r="C4" s="7">
        <f t="shared" si="1"/>
        <v>0.03645833333</v>
      </c>
      <c r="E4">
        <f t="shared" ref="E4:X4" si="2">3*E8</f>
        <v>3</v>
      </c>
      <c r="F4">
        <f t="shared" si="2"/>
        <v>6</v>
      </c>
      <c r="G4">
        <f t="shared" si="2"/>
        <v>9</v>
      </c>
      <c r="H4">
        <f t="shared" si="2"/>
        <v>12</v>
      </c>
      <c r="I4">
        <f t="shared" si="2"/>
        <v>15</v>
      </c>
      <c r="J4">
        <f t="shared" si="2"/>
        <v>18</v>
      </c>
      <c r="K4">
        <f t="shared" si="2"/>
        <v>21</v>
      </c>
      <c r="L4">
        <f t="shared" si="2"/>
        <v>24</v>
      </c>
      <c r="M4">
        <f t="shared" si="2"/>
        <v>27</v>
      </c>
      <c r="N4">
        <f t="shared" si="2"/>
        <v>30</v>
      </c>
      <c r="O4">
        <f t="shared" si="2"/>
        <v>33</v>
      </c>
      <c r="P4">
        <f t="shared" si="2"/>
        <v>36</v>
      </c>
      <c r="Q4">
        <f t="shared" si="2"/>
        <v>39</v>
      </c>
      <c r="R4">
        <f t="shared" si="2"/>
        <v>42</v>
      </c>
      <c r="S4">
        <f t="shared" si="2"/>
        <v>45</v>
      </c>
      <c r="T4">
        <f t="shared" si="2"/>
        <v>48</v>
      </c>
      <c r="U4">
        <f t="shared" si="2"/>
        <v>51</v>
      </c>
      <c r="V4">
        <f t="shared" si="2"/>
        <v>54</v>
      </c>
      <c r="W4">
        <f t="shared" si="2"/>
        <v>57</v>
      </c>
      <c r="X4">
        <f t="shared" si="2"/>
        <v>60</v>
      </c>
    </row>
    <row r="5">
      <c r="A5" s="2" t="s">
        <v>39</v>
      </c>
      <c r="B5">
        <f>pi()*(9^2-8.5^2)</f>
        <v>27.48893572</v>
      </c>
      <c r="C5" s="7">
        <f t="shared" si="1"/>
        <v>0.06076388889</v>
      </c>
      <c r="E5" s="2">
        <f t="shared" ref="E5:X5" si="3">E8*2</f>
        <v>2</v>
      </c>
      <c r="F5" s="2">
        <f t="shared" si="3"/>
        <v>4</v>
      </c>
      <c r="G5" s="2">
        <f t="shared" si="3"/>
        <v>6</v>
      </c>
      <c r="H5" s="2">
        <f t="shared" si="3"/>
        <v>8</v>
      </c>
      <c r="I5" s="2">
        <f t="shared" si="3"/>
        <v>10</v>
      </c>
      <c r="J5" s="2">
        <f t="shared" si="3"/>
        <v>12</v>
      </c>
      <c r="K5" s="2">
        <f t="shared" si="3"/>
        <v>14</v>
      </c>
      <c r="L5" s="2">
        <f t="shared" si="3"/>
        <v>16</v>
      </c>
      <c r="M5" s="2">
        <f t="shared" si="3"/>
        <v>18</v>
      </c>
      <c r="N5" s="2">
        <f t="shared" si="3"/>
        <v>20</v>
      </c>
      <c r="O5" s="2">
        <f t="shared" si="3"/>
        <v>22</v>
      </c>
      <c r="P5" s="2">
        <f t="shared" si="3"/>
        <v>24</v>
      </c>
      <c r="Q5" s="2">
        <f t="shared" si="3"/>
        <v>26</v>
      </c>
      <c r="R5" s="2">
        <f t="shared" si="3"/>
        <v>28</v>
      </c>
      <c r="S5" s="2">
        <f t="shared" si="3"/>
        <v>30</v>
      </c>
      <c r="T5" s="2">
        <f t="shared" si="3"/>
        <v>32</v>
      </c>
      <c r="U5" s="2">
        <f t="shared" si="3"/>
        <v>34</v>
      </c>
      <c r="V5" s="2">
        <f t="shared" si="3"/>
        <v>36</v>
      </c>
      <c r="W5" s="2">
        <f t="shared" si="3"/>
        <v>38</v>
      </c>
      <c r="X5" s="2">
        <f t="shared" si="3"/>
        <v>40</v>
      </c>
    </row>
    <row r="6">
      <c r="A6" s="2" t="s">
        <v>40</v>
      </c>
      <c r="B6">
        <f>pi()*24</f>
        <v>75.39822369</v>
      </c>
      <c r="C6" s="7">
        <f t="shared" si="1"/>
        <v>0.1666666667</v>
      </c>
      <c r="E6">
        <f t="shared" ref="E6:X6" si="4">E8</f>
        <v>1</v>
      </c>
      <c r="F6">
        <f t="shared" si="4"/>
        <v>2</v>
      </c>
      <c r="G6">
        <f t="shared" si="4"/>
        <v>3</v>
      </c>
      <c r="H6">
        <f t="shared" si="4"/>
        <v>4</v>
      </c>
      <c r="I6">
        <f t="shared" si="4"/>
        <v>5</v>
      </c>
      <c r="J6">
        <f t="shared" si="4"/>
        <v>6</v>
      </c>
      <c r="K6">
        <f t="shared" si="4"/>
        <v>7</v>
      </c>
      <c r="L6">
        <f t="shared" si="4"/>
        <v>8</v>
      </c>
      <c r="M6">
        <f t="shared" si="4"/>
        <v>9</v>
      </c>
      <c r="N6">
        <f t="shared" si="4"/>
        <v>10</v>
      </c>
      <c r="O6">
        <f t="shared" si="4"/>
        <v>11</v>
      </c>
      <c r="P6">
        <f t="shared" si="4"/>
        <v>12</v>
      </c>
      <c r="Q6">
        <f t="shared" si="4"/>
        <v>13</v>
      </c>
      <c r="R6">
        <f t="shared" si="4"/>
        <v>14</v>
      </c>
      <c r="S6">
        <f t="shared" si="4"/>
        <v>15</v>
      </c>
      <c r="T6">
        <f t="shared" si="4"/>
        <v>16</v>
      </c>
      <c r="U6">
        <f t="shared" si="4"/>
        <v>17</v>
      </c>
      <c r="V6">
        <f t="shared" si="4"/>
        <v>18</v>
      </c>
      <c r="W6">
        <f t="shared" si="4"/>
        <v>19</v>
      </c>
      <c r="X6">
        <f t="shared" si="4"/>
        <v>20</v>
      </c>
    </row>
    <row r="7">
      <c r="A7" s="2" t="s">
        <v>41</v>
      </c>
      <c r="B7">
        <f>pi()*(8.5^2-5.5^2)</f>
        <v>131.9468915</v>
      </c>
      <c r="C7" s="7">
        <f t="shared" si="1"/>
        <v>0.2916666667</v>
      </c>
      <c r="E7">
        <f t="shared" ref="E7:X7" si="5">E8</f>
        <v>1</v>
      </c>
      <c r="F7">
        <f t="shared" si="5"/>
        <v>2</v>
      </c>
      <c r="G7">
        <f t="shared" si="5"/>
        <v>3</v>
      </c>
      <c r="H7">
        <f t="shared" si="5"/>
        <v>4</v>
      </c>
      <c r="I7">
        <f t="shared" si="5"/>
        <v>5</v>
      </c>
      <c r="J7">
        <f t="shared" si="5"/>
        <v>6</v>
      </c>
      <c r="K7">
        <f t="shared" si="5"/>
        <v>7</v>
      </c>
      <c r="L7">
        <f t="shared" si="5"/>
        <v>8</v>
      </c>
      <c r="M7">
        <f t="shared" si="5"/>
        <v>9</v>
      </c>
      <c r="N7">
        <f t="shared" si="5"/>
        <v>10</v>
      </c>
      <c r="O7">
        <f t="shared" si="5"/>
        <v>11</v>
      </c>
      <c r="P7">
        <f t="shared" si="5"/>
        <v>12</v>
      </c>
      <c r="Q7">
        <f t="shared" si="5"/>
        <v>13</v>
      </c>
      <c r="R7">
        <f t="shared" si="5"/>
        <v>14</v>
      </c>
      <c r="S7">
        <f t="shared" si="5"/>
        <v>15</v>
      </c>
      <c r="T7">
        <f t="shared" si="5"/>
        <v>16</v>
      </c>
      <c r="U7">
        <f t="shared" si="5"/>
        <v>17</v>
      </c>
      <c r="V7">
        <f t="shared" si="5"/>
        <v>18</v>
      </c>
      <c r="W7">
        <f t="shared" si="5"/>
        <v>19</v>
      </c>
      <c r="X7">
        <f t="shared" si="5"/>
        <v>20</v>
      </c>
    </row>
    <row r="8">
      <c r="A8" s="2" t="s">
        <v>42</v>
      </c>
      <c r="B8">
        <f>pi()*(12^2-9^2)</f>
        <v>197.9203372</v>
      </c>
      <c r="C8" s="7">
        <f t="shared" si="1"/>
        <v>0.4375</v>
      </c>
      <c r="D8" s="2">
        <v>0.0</v>
      </c>
      <c r="E8" s="2">
        <v>1.0</v>
      </c>
      <c r="F8" s="2">
        <v>2.0</v>
      </c>
      <c r="G8" s="2">
        <v>3.0</v>
      </c>
      <c r="H8" s="2">
        <v>4.0</v>
      </c>
      <c r="I8" s="2">
        <v>5.0</v>
      </c>
      <c r="J8" s="2">
        <v>6.0</v>
      </c>
      <c r="K8" s="2">
        <v>7.0</v>
      </c>
      <c r="L8" s="2">
        <v>8.0</v>
      </c>
      <c r="M8" s="2">
        <v>9.0</v>
      </c>
      <c r="N8" s="2">
        <v>10.0</v>
      </c>
      <c r="O8" s="2">
        <v>11.0</v>
      </c>
      <c r="P8" s="2">
        <v>12.0</v>
      </c>
      <c r="Q8" s="2">
        <v>13.0</v>
      </c>
      <c r="R8" s="2">
        <v>14.0</v>
      </c>
      <c r="S8" s="2">
        <v>15.0</v>
      </c>
      <c r="T8" s="2">
        <v>16.0</v>
      </c>
      <c r="U8" s="2">
        <v>17.0</v>
      </c>
      <c r="V8" s="2">
        <v>18.0</v>
      </c>
      <c r="W8" s="2">
        <v>19.0</v>
      </c>
      <c r="X8" s="2">
        <v>20.0</v>
      </c>
    </row>
    <row r="9">
      <c r="C9" s="7"/>
    </row>
    <row r="10">
      <c r="B10" s="2" t="s">
        <v>32</v>
      </c>
      <c r="C10" s="2" t="s">
        <v>43</v>
      </c>
    </row>
    <row r="11">
      <c r="B11">
        <f>pi()*144</f>
        <v>452.3893421</v>
      </c>
      <c r="C11" s="7">
        <f>sum(C2:C8)</f>
        <v>1</v>
      </c>
    </row>
    <row r="12">
      <c r="C12" s="7"/>
    </row>
    <row r="13">
      <c r="C13" s="7"/>
    </row>
    <row r="14">
      <c r="C14" s="7"/>
    </row>
    <row r="15">
      <c r="C15" s="7">
        <f>C4^3*100</f>
        <v>0.004846078378</v>
      </c>
    </row>
    <row r="16">
      <c r="C16" s="7"/>
    </row>
    <row r="17">
      <c r="C17" s="7"/>
    </row>
    <row r="18">
      <c r="C18" s="7"/>
    </row>
    <row r="19">
      <c r="C19" s="7"/>
    </row>
    <row r="20">
      <c r="C20" s="7"/>
    </row>
    <row r="21">
      <c r="C21" s="7"/>
    </row>
    <row r="22">
      <c r="C22" s="7"/>
    </row>
    <row r="23">
      <c r="C23" s="7"/>
    </row>
    <row r="24">
      <c r="C24" s="7"/>
    </row>
    <row r="25">
      <c r="C25" s="7"/>
    </row>
    <row r="26">
      <c r="C26" s="7"/>
    </row>
    <row r="27">
      <c r="C27" s="7"/>
    </row>
    <row r="28">
      <c r="C28" s="7"/>
    </row>
    <row r="29">
      <c r="C29" s="7"/>
    </row>
    <row r="30">
      <c r="C30" s="7"/>
    </row>
    <row r="31">
      <c r="C31" s="7"/>
    </row>
    <row r="32">
      <c r="C32" s="7"/>
    </row>
    <row r="33">
      <c r="C33" s="7"/>
    </row>
    <row r="34">
      <c r="C34" s="7"/>
    </row>
    <row r="35">
      <c r="C35" s="7"/>
    </row>
    <row r="36">
      <c r="C36" s="7"/>
    </row>
    <row r="37">
      <c r="C37" s="7"/>
    </row>
    <row r="38">
      <c r="C38" s="7"/>
    </row>
    <row r="39">
      <c r="C39" s="7"/>
    </row>
    <row r="40">
      <c r="C40" s="7"/>
    </row>
    <row r="41">
      <c r="C41" s="7"/>
    </row>
    <row r="42">
      <c r="C42" s="7"/>
    </row>
    <row r="43">
      <c r="C43" s="7"/>
    </row>
    <row r="44">
      <c r="C44" s="7"/>
    </row>
    <row r="45">
      <c r="C45" s="7"/>
    </row>
    <row r="46">
      <c r="C46" s="7"/>
    </row>
    <row r="47">
      <c r="C47" s="7"/>
    </row>
    <row r="48">
      <c r="C48" s="7"/>
    </row>
    <row r="49">
      <c r="C49" s="7"/>
    </row>
    <row r="50">
      <c r="C50" s="7"/>
    </row>
    <row r="51">
      <c r="C51" s="7"/>
    </row>
    <row r="52">
      <c r="C52" s="7"/>
    </row>
    <row r="53">
      <c r="C53" s="7"/>
    </row>
    <row r="54">
      <c r="C54" s="7"/>
    </row>
    <row r="55">
      <c r="C55" s="7"/>
    </row>
    <row r="56">
      <c r="C56" s="7"/>
    </row>
    <row r="57">
      <c r="C57" s="7"/>
    </row>
    <row r="58">
      <c r="C58" s="7"/>
    </row>
    <row r="59">
      <c r="C59" s="7"/>
    </row>
    <row r="60">
      <c r="C60" s="7"/>
    </row>
    <row r="61">
      <c r="C61" s="7"/>
    </row>
    <row r="62">
      <c r="C62" s="7"/>
    </row>
    <row r="63">
      <c r="C63" s="7"/>
    </row>
    <row r="64">
      <c r="C64" s="7"/>
    </row>
    <row r="65">
      <c r="C65" s="7"/>
    </row>
    <row r="66">
      <c r="C66" s="7"/>
    </row>
    <row r="67">
      <c r="C67" s="7"/>
    </row>
    <row r="68">
      <c r="C68" s="7"/>
    </row>
    <row r="69">
      <c r="C69" s="7"/>
    </row>
    <row r="70">
      <c r="C70" s="7"/>
    </row>
    <row r="71">
      <c r="C71" s="7"/>
    </row>
    <row r="72">
      <c r="C72" s="7"/>
    </row>
    <row r="73">
      <c r="C73" s="7"/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  <row r="134">
      <c r="C134" s="7"/>
    </row>
    <row r="135">
      <c r="C135" s="7"/>
    </row>
    <row r="136">
      <c r="C136" s="7"/>
    </row>
    <row r="137">
      <c r="C137" s="7"/>
    </row>
    <row r="138">
      <c r="C138" s="7"/>
    </row>
    <row r="139">
      <c r="C139" s="7"/>
    </row>
    <row r="140">
      <c r="C140" s="7"/>
    </row>
    <row r="141">
      <c r="C141" s="7"/>
    </row>
    <row r="142">
      <c r="C142" s="7"/>
    </row>
    <row r="143">
      <c r="C143" s="7"/>
    </row>
    <row r="144">
      <c r="C144" s="7"/>
    </row>
    <row r="145">
      <c r="C145" s="7"/>
    </row>
    <row r="146">
      <c r="C146" s="7"/>
    </row>
    <row r="147">
      <c r="C147" s="7"/>
    </row>
    <row r="148">
      <c r="C148" s="7"/>
    </row>
    <row r="149">
      <c r="C149" s="7"/>
    </row>
    <row r="150">
      <c r="C150" s="7"/>
    </row>
    <row r="151">
      <c r="C151" s="7"/>
    </row>
    <row r="152">
      <c r="C152" s="7"/>
    </row>
    <row r="153">
      <c r="C153" s="7"/>
    </row>
    <row r="154">
      <c r="C154" s="7"/>
    </row>
    <row r="155">
      <c r="C155" s="7"/>
    </row>
    <row r="156">
      <c r="C156" s="7"/>
    </row>
    <row r="157">
      <c r="C157" s="7"/>
    </row>
    <row r="158">
      <c r="C158" s="7"/>
    </row>
    <row r="159">
      <c r="C159" s="7"/>
    </row>
    <row r="160">
      <c r="C160" s="7"/>
    </row>
    <row r="161">
      <c r="C161" s="7"/>
    </row>
    <row r="162">
      <c r="C162" s="7"/>
    </row>
    <row r="163">
      <c r="C163" s="7"/>
    </row>
    <row r="164">
      <c r="C164" s="7"/>
    </row>
    <row r="165">
      <c r="C165" s="7"/>
    </row>
    <row r="166">
      <c r="C166" s="7"/>
    </row>
    <row r="167">
      <c r="C167" s="7"/>
    </row>
    <row r="168">
      <c r="C168" s="7"/>
    </row>
    <row r="169">
      <c r="C169" s="7"/>
    </row>
    <row r="170">
      <c r="C170" s="7"/>
    </row>
    <row r="171">
      <c r="C171" s="7"/>
    </row>
    <row r="172">
      <c r="C172" s="7"/>
    </row>
    <row r="173">
      <c r="C173" s="7"/>
    </row>
    <row r="174">
      <c r="C174" s="7"/>
    </row>
    <row r="175">
      <c r="C175" s="7"/>
    </row>
    <row r="176">
      <c r="C176" s="7"/>
    </row>
    <row r="177">
      <c r="C177" s="7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</sheetData>
  <drawing r:id="rId1"/>
</worksheet>
</file>