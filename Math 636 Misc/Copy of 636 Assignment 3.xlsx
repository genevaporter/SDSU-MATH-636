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roblem 1" sheetId="1" r:id="rId3"/>
    <sheet state="visible" name="problem 4" sheetId="2" r:id="rId4"/>
    <sheet state="visible" name="problem 5" sheetId="3" r:id="rId5"/>
    <sheet state="visible" name="problem 6" sheetId="4" r:id="rId6"/>
    <sheet state="visible" name="problem 7" sheetId="5" r:id="rId7"/>
    <sheet state="visible" name="problem 8" sheetId="6" r:id="rId8"/>
    <sheet state="hidden" name="__Solver__" sheetId="7" r:id="rId9"/>
  </sheets>
  <definedNames/>
  <calcPr/>
</workbook>
</file>

<file path=xl/sharedStrings.xml><?xml version="1.0" encoding="utf-8"?>
<sst xmlns="http://schemas.openxmlformats.org/spreadsheetml/2006/main" count="60" uniqueCount="47">
  <si>
    <t>fishing</t>
  </si>
  <si>
    <t>iteration</t>
  </si>
  <si>
    <t>hasell pn</t>
  </si>
  <si>
    <t>n</t>
  </si>
  <si>
    <t>hassell pn+1</t>
  </si>
  <si>
    <t>year</t>
  </si>
  <si>
    <t>pn</t>
  </si>
  <si>
    <t>Pn</t>
  </si>
  <si>
    <t>Empirical</t>
  </si>
  <si>
    <t>pn Error</t>
  </si>
  <si>
    <t>Pn Error</t>
  </si>
  <si>
    <t>t</t>
  </si>
  <si>
    <t>Year</t>
  </si>
  <si>
    <t>Population</t>
  </si>
  <si>
    <t>growth model</t>
  </si>
  <si>
    <t>actual growth</t>
  </si>
  <si>
    <t>growth %error</t>
  </si>
  <si>
    <t>population model</t>
  </si>
  <si>
    <t>population %error</t>
  </si>
  <si>
    <t>population SSE</t>
  </si>
  <si>
    <t>average growth</t>
  </si>
  <si>
    <t>population</t>
  </si>
  <si>
    <t>Log Pn+1</t>
  </si>
  <si>
    <t>Initial population</t>
  </si>
  <si>
    <t>Rickers Pn+1</t>
  </si>
  <si>
    <t>Week</t>
  </si>
  <si>
    <t>Adults</t>
  </si>
  <si>
    <t>Pn+1</t>
  </si>
  <si>
    <t>B-H model Pn+1</t>
  </si>
  <si>
    <t>SSE</t>
  </si>
  <si>
    <t>week</t>
  </si>
  <si>
    <t>%error</t>
  </si>
  <si>
    <t>BH Pn+1</t>
  </si>
  <si>
    <t>Initial Population</t>
  </si>
  <si>
    <t>sse</t>
  </si>
  <si>
    <t>year t</t>
  </si>
  <si>
    <t>population p</t>
  </si>
  <si>
    <t>BEST INITIAL</t>
  </si>
  <si>
    <t>log updating</t>
  </si>
  <si>
    <t>best initial</t>
  </si>
  <si>
    <t>log2 updating</t>
  </si>
  <si>
    <t>cubic updating</t>
  </si>
  <si>
    <t>-</t>
  </si>
  <si>
    <t>20188171537209813504</t>
  </si>
  <si>
    <t>IFaMXxPp5FhtXg0b</t>
  </si>
  <si>
    <t>DhQm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</si>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</sst>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/>
    <font>
      <sz val="11.0"/>
      <color rgb="FF000000"/>
      <name val="Arial"/>
    </font>
    <font>
      <sz val="11.0"/>
      <color rgb="FF000000"/>
      <name val="&quot;Helvetica Neue&quot;"/>
    </font>
    <font>
      <b/>
    </font>
    <font>
      <sz val="11.0"/>
      <color rgb="FF000000"/>
      <name val="Inconsolata"/>
    </font>
    <font>
      <sz val="11.0"/>
      <name val="Arial"/>
    </font>
    <font>
      <sz val="11.0"/>
      <name val="&quot;Helvetica Neue&quot;"/>
    </font>
    <font>
      <sz val="11.0"/>
      <color rgb="FF212121"/>
      <name val="Wf_segoe-ui_normal"/>
    </font>
    <font>
      <sz val="11.0"/>
      <name val="Inconsolata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Font="1"/>
    <xf borderId="0" fillId="3" fontId="2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4" numFmtId="0" xfId="0" applyFont="1"/>
    <xf borderId="0" fillId="4" fontId="5" numFmtId="0" xfId="0" applyFill="1" applyFont="1"/>
    <xf borderId="0" fillId="3" fontId="6" numFmtId="0" xfId="0" applyAlignment="1" applyFont="1">
      <alignment horizontal="center" readingOrder="0"/>
    </xf>
    <xf borderId="0" fillId="3" fontId="7" numFmtId="0" xfId="0" applyAlignment="1" applyFont="1">
      <alignment horizontal="center" readingOrder="0"/>
    </xf>
    <xf borderId="0" fillId="4" fontId="8" numFmtId="0" xfId="0" applyAlignment="1" applyFont="1">
      <alignment readingOrder="0"/>
    </xf>
    <xf borderId="0" fillId="4" fontId="9" numFmtId="0" xfId="0" applyFont="1"/>
    <xf borderId="0" fillId="3" fontId="3" numFmtId="0" xfId="0" applyFont="1"/>
    <xf borderId="0" fillId="3" fontId="3" numFmtId="0" xfId="0" applyAlignment="1" applyFont="1">
      <alignment horizontal="center"/>
    </xf>
    <xf borderId="0" fillId="3" fontId="3" numFmtId="0" xfId="0" applyFont="1"/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0.0</v>
      </c>
      <c r="B2" s="4">
        <v>1960.0</v>
      </c>
      <c r="C2" s="2">
        <v>50.2</v>
      </c>
      <c r="D2" s="2">
        <v>50.2</v>
      </c>
      <c r="E2" s="2">
        <v>50.2</v>
      </c>
      <c r="F2">
        <f t="shared" ref="F2:F22" si="1">(C2-E2)/E2*100</f>
        <v>0</v>
      </c>
      <c r="G2" s="3">
        <f t="shared" ref="G2:G22" si="2">(D2-E2)/E2*100</f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1.0</v>
      </c>
      <c r="B3" s="4">
        <v>1970.0</v>
      </c>
      <c r="C3" s="3">
        <f t="shared" ref="C3:C22" si="3">50.2*1.061^A3</f>
        <v>53.2622</v>
      </c>
      <c r="D3" s="3">
        <f t="shared" ref="D3:D22" si="4">(1.07-0.018*A2)*D2</f>
        <v>53.714</v>
      </c>
      <c r="E3" s="3"/>
      <c r="F3" t="str">
        <f t="shared" si="1"/>
        <v>#DIV/0!</v>
      </c>
      <c r="G3" s="3" t="str">
        <f t="shared" si="2"/>
        <v>#DIV/0!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2.0</v>
      </c>
      <c r="B4" s="4">
        <v>1980.0</v>
      </c>
      <c r="C4" s="3">
        <f t="shared" si="3"/>
        <v>56.5111942</v>
      </c>
      <c r="D4" s="3">
        <f t="shared" si="4"/>
        <v>56.507128</v>
      </c>
      <c r="E4" s="3"/>
      <c r="F4" t="str">
        <f t="shared" si="1"/>
        <v>#DIV/0!</v>
      </c>
      <c r="G4" s="3" t="str">
        <f t="shared" si="2"/>
        <v>#DIV/0!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3.0</v>
      </c>
      <c r="B5" s="4">
        <v>1990.0</v>
      </c>
      <c r="C5" s="3">
        <f t="shared" si="3"/>
        <v>59.95837705</v>
      </c>
      <c r="D5" s="3">
        <f t="shared" si="4"/>
        <v>58.42837035</v>
      </c>
      <c r="E5" s="2">
        <v>56.8</v>
      </c>
      <c r="F5">
        <f t="shared" si="1"/>
        <v>5.560522969</v>
      </c>
      <c r="G5" s="3">
        <f t="shared" si="2"/>
        <v>2.866849211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4.0</v>
      </c>
      <c r="B6" s="4">
        <v>2000.0</v>
      </c>
      <c r="C6" s="3">
        <f t="shared" si="3"/>
        <v>63.61583805</v>
      </c>
      <c r="D6" s="3">
        <f t="shared" si="4"/>
        <v>59.36322428</v>
      </c>
      <c r="E6" s="2">
        <v>57.9</v>
      </c>
      <c r="F6">
        <f t="shared" si="1"/>
        <v>9.871913724</v>
      </c>
      <c r="G6" s="3">
        <f t="shared" si="2"/>
        <v>2.527157647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>
        <v>5.0</v>
      </c>
      <c r="B7" s="5">
        <v>2010.0</v>
      </c>
      <c r="C7" s="6">
        <f t="shared" si="3"/>
        <v>67.49640417</v>
      </c>
      <c r="D7" s="6">
        <f t="shared" si="4"/>
        <v>59.24449783</v>
      </c>
      <c r="E7" s="6"/>
      <c r="F7" s="7" t="str">
        <f t="shared" si="1"/>
        <v>#DIV/0!</v>
      </c>
      <c r="G7" s="6" t="str">
        <f t="shared" si="2"/>
        <v>#DIV/0!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>
        <v>6.0</v>
      </c>
      <c r="B8" s="4">
        <v>2020.0</v>
      </c>
      <c r="C8" s="3">
        <f t="shared" si="3"/>
        <v>71.61368482</v>
      </c>
      <c r="D8" s="3">
        <f t="shared" si="4"/>
        <v>58.05960787</v>
      </c>
      <c r="E8" s="3"/>
      <c r="F8" t="str">
        <f t="shared" si="1"/>
        <v>#DIV/0!</v>
      </c>
      <c r="G8" s="3" t="str">
        <f t="shared" si="2"/>
        <v>#DIV/0!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7.0</v>
      </c>
      <c r="B9" s="4">
        <v>2030.0</v>
      </c>
      <c r="C9" s="3">
        <f t="shared" si="3"/>
        <v>75.9821196</v>
      </c>
      <c r="D9" s="3">
        <f t="shared" si="4"/>
        <v>55.85334277</v>
      </c>
      <c r="E9" s="3"/>
      <c r="F9" t="str">
        <f t="shared" si="1"/>
        <v>#DIV/0!</v>
      </c>
      <c r="G9" s="3" t="str">
        <f t="shared" si="2"/>
        <v>#DIV/0!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8.0</v>
      </c>
      <c r="B10" s="4">
        <v>2040.0</v>
      </c>
      <c r="C10" s="3">
        <f t="shared" si="3"/>
        <v>80.61702889</v>
      </c>
      <c r="D10" s="3">
        <f t="shared" si="4"/>
        <v>52.72555558</v>
      </c>
      <c r="E10" s="3"/>
      <c r="F10" t="str">
        <f t="shared" si="1"/>
        <v>#DIV/0!</v>
      </c>
      <c r="G10" s="3" t="str">
        <f t="shared" si="2"/>
        <v>#DIV/0!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9.0</v>
      </c>
      <c r="B11" s="4">
        <v>2050.0</v>
      </c>
      <c r="C11" s="3">
        <f t="shared" si="3"/>
        <v>85.53466765</v>
      </c>
      <c r="D11" s="3">
        <f t="shared" si="4"/>
        <v>48.82386447</v>
      </c>
      <c r="E11" s="3"/>
      <c r="F11" t="str">
        <f t="shared" si="1"/>
        <v>#DIV/0!</v>
      </c>
      <c r="G11" s="3" t="str">
        <f t="shared" si="2"/>
        <v>#DIV/0!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>
        <v>10.0</v>
      </c>
      <c r="B12" s="5">
        <v>2060.0</v>
      </c>
      <c r="C12" s="6">
        <f t="shared" si="3"/>
        <v>90.75228238</v>
      </c>
      <c r="D12" s="6">
        <f t="shared" si="4"/>
        <v>44.33206893</v>
      </c>
      <c r="E12" s="6"/>
      <c r="F12" s="7" t="str">
        <f t="shared" si="1"/>
        <v>#DIV/0!</v>
      </c>
      <c r="G12" s="6" t="str">
        <f t="shared" si="2"/>
        <v>#DIV/0!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>
        <v>11.0</v>
      </c>
      <c r="B13" s="4">
        <v>2070.0</v>
      </c>
      <c r="C13" s="3">
        <f t="shared" si="3"/>
        <v>96.2881716</v>
      </c>
      <c r="D13" s="3">
        <f t="shared" si="4"/>
        <v>39.45554135</v>
      </c>
      <c r="E13" s="3"/>
      <c r="F13" t="str">
        <f t="shared" si="1"/>
        <v>#DIV/0!</v>
      </c>
      <c r="G13" s="3" t="str">
        <f t="shared" si="2"/>
        <v>#DIV/0!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12.0</v>
      </c>
      <c r="B14" s="4">
        <v>2080.0</v>
      </c>
      <c r="C14" s="3">
        <f t="shared" si="3"/>
        <v>102.1617501</v>
      </c>
      <c r="D14" s="3">
        <f t="shared" si="4"/>
        <v>34.40523206</v>
      </c>
      <c r="E14" s="3"/>
      <c r="F14" t="str">
        <f t="shared" si="1"/>
        <v>#DIV/0!</v>
      </c>
      <c r="G14" s="3" t="str">
        <f t="shared" si="2"/>
        <v>#DIV/0!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13.0</v>
      </c>
      <c r="B15" s="4">
        <v>2090.0</v>
      </c>
      <c r="C15" s="3">
        <f t="shared" si="3"/>
        <v>108.3936168</v>
      </c>
      <c r="D15" s="3">
        <f t="shared" si="4"/>
        <v>29.38206818</v>
      </c>
      <c r="E15" s="3"/>
      <c r="F15" t="str">
        <f t="shared" si="1"/>
        <v>#DIV/0!</v>
      </c>
      <c r="G15" s="3" t="str">
        <f t="shared" si="2"/>
        <v>#DIV/0!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14.0</v>
      </c>
      <c r="B16" s="4">
        <v>2100.0</v>
      </c>
      <c r="C16" s="3">
        <f t="shared" si="3"/>
        <v>115.0056275</v>
      </c>
      <c r="D16" s="3">
        <f t="shared" si="4"/>
        <v>24.563409</v>
      </c>
      <c r="E16" s="3"/>
      <c r="F16" t="str">
        <f t="shared" si="1"/>
        <v>#DIV/0!</v>
      </c>
      <c r="G16" s="3" t="str">
        <f t="shared" si="2"/>
        <v>#DIV/0!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15.0</v>
      </c>
      <c r="B17" s="4">
        <v>2110.0</v>
      </c>
      <c r="C17" s="3">
        <f t="shared" si="3"/>
        <v>122.0209707</v>
      </c>
      <c r="D17" s="3">
        <f t="shared" si="4"/>
        <v>20.09286856</v>
      </c>
      <c r="E17" s="3"/>
      <c r="F17" t="str">
        <f t="shared" si="1"/>
        <v>#DIV/0!</v>
      </c>
      <c r="G17" s="3" t="str">
        <f t="shared" si="2"/>
        <v>#DIV/0!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16.0</v>
      </c>
      <c r="B18" s="4">
        <v>2120.0</v>
      </c>
      <c r="C18" s="3">
        <f t="shared" si="3"/>
        <v>129.4642499</v>
      </c>
      <c r="D18" s="3">
        <f t="shared" si="4"/>
        <v>16.07429485</v>
      </c>
      <c r="E18" s="3"/>
      <c r="F18" t="str">
        <f t="shared" si="1"/>
        <v>#DIV/0!</v>
      </c>
      <c r="G18" s="3" t="str">
        <f t="shared" si="2"/>
        <v>#DIV/0!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17.0</v>
      </c>
      <c r="B19" s="4">
        <v>2130.0</v>
      </c>
      <c r="C19" s="3">
        <f t="shared" si="3"/>
        <v>137.3615692</v>
      </c>
      <c r="D19" s="3">
        <f t="shared" si="4"/>
        <v>12.57009857</v>
      </c>
      <c r="E19" s="3"/>
      <c r="F19" t="str">
        <f t="shared" si="1"/>
        <v>#DIV/0!</v>
      </c>
      <c r="G19" s="3" t="str">
        <f t="shared" si="2"/>
        <v>#DIV/0!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18.0</v>
      </c>
      <c r="B20" s="4">
        <v>2140.0</v>
      </c>
      <c r="C20" s="3">
        <f t="shared" si="3"/>
        <v>145.7406249</v>
      </c>
      <c r="D20" s="3">
        <f t="shared" si="4"/>
        <v>9.603555308</v>
      </c>
      <c r="E20" s="3"/>
      <c r="F20" t="str">
        <f t="shared" si="1"/>
        <v>#DIV/0!</v>
      </c>
      <c r="G20" s="3" t="str">
        <f t="shared" si="2"/>
        <v>#DIV/0!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19.0</v>
      </c>
      <c r="B21" s="4">
        <v>2150.0</v>
      </c>
      <c r="C21" s="3">
        <f t="shared" si="3"/>
        <v>154.630803</v>
      </c>
      <c r="D21" s="3">
        <f t="shared" si="4"/>
        <v>7.16425226</v>
      </c>
      <c r="E21" s="3"/>
      <c r="F21" t="str">
        <f t="shared" si="1"/>
        <v>#DIV/0!</v>
      </c>
      <c r="G21" s="3" t="str">
        <f t="shared" si="2"/>
        <v>#DIV/0!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20.0</v>
      </c>
      <c r="B22" s="4">
        <v>2160.0</v>
      </c>
      <c r="C22" s="3">
        <f t="shared" si="3"/>
        <v>164.063282</v>
      </c>
      <c r="D22" s="3">
        <f t="shared" si="4"/>
        <v>5.215575645</v>
      </c>
      <c r="E22" s="3"/>
      <c r="F22" t="str">
        <f t="shared" si="1"/>
        <v>#DIV/0!</v>
      </c>
      <c r="G22" s="3" t="str">
        <f t="shared" si="2"/>
        <v>#DIV/0!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2</v>
      </c>
      <c r="B1" s="1" t="s">
        <v>4</v>
      </c>
    </row>
    <row r="2">
      <c r="A2" s="1">
        <v>50.0</v>
      </c>
    </row>
    <row r="3">
      <c r="A3">
        <f t="shared" ref="A3:A1000" si="1">95*A2/(1+0.004*A2)^4</f>
        <v>2290.70216</v>
      </c>
    </row>
    <row r="4">
      <c r="A4">
        <f t="shared" si="1"/>
        <v>20.40033212</v>
      </c>
    </row>
    <row r="5">
      <c r="A5">
        <f t="shared" si="1"/>
        <v>1416.093714</v>
      </c>
    </row>
    <row r="6">
      <c r="A6">
        <f t="shared" si="1"/>
        <v>68.19898818</v>
      </c>
    </row>
    <row r="7">
      <c r="A7">
        <f t="shared" si="1"/>
        <v>2468.689069</v>
      </c>
    </row>
    <row r="8">
      <c r="A8">
        <f t="shared" si="1"/>
        <v>16.76918168</v>
      </c>
    </row>
    <row r="9">
      <c r="A9">
        <f t="shared" si="1"/>
        <v>1228.719876</v>
      </c>
    </row>
    <row r="10">
      <c r="A10">
        <f t="shared" si="1"/>
        <v>95.36584953</v>
      </c>
    </row>
    <row r="11">
      <c r="A11">
        <f t="shared" si="1"/>
        <v>2487.476326</v>
      </c>
    </row>
    <row r="12">
      <c r="A12">
        <f t="shared" si="1"/>
        <v>16.4377022</v>
      </c>
    </row>
    <row r="13">
      <c r="A13">
        <f t="shared" si="1"/>
        <v>1210.436552</v>
      </c>
    </row>
    <row r="14">
      <c r="A14">
        <f t="shared" si="1"/>
        <v>98.74040262</v>
      </c>
    </row>
    <row r="15">
      <c r="A15">
        <f t="shared" si="1"/>
        <v>2477.247936</v>
      </c>
    </row>
    <row r="16">
      <c r="A16">
        <f t="shared" si="1"/>
        <v>16.61707684</v>
      </c>
    </row>
    <row r="17">
      <c r="A17">
        <f t="shared" si="1"/>
        <v>1220.355655</v>
      </c>
    </row>
    <row r="18">
      <c r="A18">
        <f t="shared" si="1"/>
        <v>96.89033857</v>
      </c>
    </row>
    <row r="19">
      <c r="A19">
        <f t="shared" si="1"/>
        <v>2483.106213</v>
      </c>
    </row>
    <row r="20">
      <c r="A20">
        <f t="shared" si="1"/>
        <v>16.51402353</v>
      </c>
    </row>
    <row r="21">
      <c r="A21">
        <f t="shared" si="1"/>
        <v>1214.664323</v>
      </c>
    </row>
    <row r="22">
      <c r="A22">
        <f t="shared" si="1"/>
        <v>97.9461802</v>
      </c>
    </row>
    <row r="23">
      <c r="A23">
        <f t="shared" si="1"/>
        <v>2479.835376</v>
      </c>
    </row>
    <row r="24">
      <c r="A24">
        <f t="shared" si="1"/>
        <v>16.57145573</v>
      </c>
    </row>
    <row r="25">
      <c r="A25">
        <f t="shared" si="1"/>
        <v>1217.838576</v>
      </c>
    </row>
    <row r="26">
      <c r="A26">
        <f t="shared" si="1"/>
        <v>97.35542978</v>
      </c>
    </row>
    <row r="27">
      <c r="A27">
        <f t="shared" si="1"/>
        <v>2481.689539</v>
      </c>
    </row>
    <row r="28">
      <c r="A28">
        <f t="shared" si="1"/>
        <v>16.53886612</v>
      </c>
    </row>
    <row r="29">
      <c r="A29">
        <f t="shared" si="1"/>
        <v>1216.038117</v>
      </c>
    </row>
    <row r="30">
      <c r="A30">
        <f t="shared" si="1"/>
        <v>97.68992578</v>
      </c>
    </row>
    <row r="31">
      <c r="A31">
        <f t="shared" si="1"/>
        <v>2480.647129</v>
      </c>
    </row>
    <row r="32">
      <c r="A32">
        <f t="shared" si="1"/>
        <v>16.55717749</v>
      </c>
    </row>
    <row r="33">
      <c r="A33">
        <f t="shared" si="1"/>
        <v>1217.049998</v>
      </c>
    </row>
    <row r="34">
      <c r="A34">
        <f t="shared" si="1"/>
        <v>97.50174755</v>
      </c>
    </row>
    <row r="35">
      <c r="A35">
        <f t="shared" si="1"/>
        <v>2481.235967</v>
      </c>
    </row>
    <row r="36">
      <c r="A36">
        <f t="shared" si="1"/>
        <v>16.54683042</v>
      </c>
    </row>
    <row r="37">
      <c r="A37">
        <f t="shared" si="1"/>
        <v>1216.478299</v>
      </c>
    </row>
    <row r="38">
      <c r="A38">
        <f t="shared" si="1"/>
        <v>97.60800659</v>
      </c>
    </row>
    <row r="39">
      <c r="A39">
        <f t="shared" si="1"/>
        <v>2480.904225</v>
      </c>
    </row>
    <row r="40">
      <c r="A40">
        <f t="shared" si="1"/>
        <v>16.55265873</v>
      </c>
    </row>
    <row r="41">
      <c r="A41">
        <f t="shared" si="1"/>
        <v>1216.80035</v>
      </c>
    </row>
    <row r="42">
      <c r="A42">
        <f t="shared" si="1"/>
        <v>97.54812944</v>
      </c>
    </row>
    <row r="43">
      <c r="A43">
        <f t="shared" si="1"/>
        <v>2481.091405</v>
      </c>
    </row>
    <row r="44">
      <c r="A44">
        <f t="shared" si="1"/>
        <v>16.54936987</v>
      </c>
    </row>
    <row r="45">
      <c r="A45">
        <f t="shared" si="1"/>
        <v>1216.618628</v>
      </c>
    </row>
    <row r="46">
      <c r="A46">
        <f t="shared" si="1"/>
        <v>97.5819101</v>
      </c>
    </row>
    <row r="47">
      <c r="A47">
        <f t="shared" si="1"/>
        <v>2480.985881</v>
      </c>
    </row>
    <row r="48">
      <c r="A48">
        <f t="shared" si="1"/>
        <v>16.55122388</v>
      </c>
    </row>
    <row r="49">
      <c r="A49">
        <f t="shared" si="1"/>
        <v>1216.721071</v>
      </c>
    </row>
    <row r="50">
      <c r="A50">
        <f t="shared" si="1"/>
        <v>97.5628648</v>
      </c>
    </row>
    <row r="51">
      <c r="A51">
        <f t="shared" si="1"/>
        <v>2481.045399</v>
      </c>
    </row>
    <row r="52">
      <c r="A52">
        <f t="shared" si="1"/>
        <v>16.55017814</v>
      </c>
    </row>
    <row r="53">
      <c r="A53">
        <f t="shared" si="1"/>
        <v>1216.663289</v>
      </c>
    </row>
    <row r="54">
      <c r="A54">
        <f t="shared" si="1"/>
        <v>97.57360642</v>
      </c>
    </row>
    <row r="55">
      <c r="A55">
        <f t="shared" si="1"/>
        <v>2481.011839</v>
      </c>
    </row>
    <row r="56">
      <c r="A56">
        <f t="shared" si="1"/>
        <v>16.55076779</v>
      </c>
    </row>
    <row r="57">
      <c r="A57">
        <f t="shared" si="1"/>
        <v>1216.695871</v>
      </c>
    </row>
    <row r="58">
      <c r="A58">
        <f t="shared" si="1"/>
        <v>97.56754939</v>
      </c>
    </row>
    <row r="59">
      <c r="A59">
        <f t="shared" si="1"/>
        <v>2481.030765</v>
      </c>
    </row>
    <row r="60">
      <c r="A60">
        <f t="shared" si="1"/>
        <v>16.55043525</v>
      </c>
    </row>
    <row r="61">
      <c r="A61">
        <f t="shared" si="1"/>
        <v>1216.677496</v>
      </c>
    </row>
    <row r="62">
      <c r="A62">
        <f t="shared" si="1"/>
        <v>97.57096526</v>
      </c>
    </row>
    <row r="63">
      <c r="A63">
        <f t="shared" si="1"/>
        <v>2481.020092</v>
      </c>
    </row>
    <row r="64">
      <c r="A64">
        <f t="shared" si="1"/>
        <v>16.55062277</v>
      </c>
    </row>
    <row r="65">
      <c r="A65">
        <f t="shared" si="1"/>
        <v>1216.687858</v>
      </c>
    </row>
    <row r="66">
      <c r="A66">
        <f t="shared" si="1"/>
        <v>97.569039</v>
      </c>
    </row>
    <row r="67">
      <c r="A67">
        <f t="shared" si="1"/>
        <v>2481.026111</v>
      </c>
    </row>
    <row r="68">
      <c r="A68">
        <f t="shared" si="1"/>
        <v>16.55051702</v>
      </c>
    </row>
    <row r="69">
      <c r="A69">
        <f t="shared" si="1"/>
        <v>1216.682014</v>
      </c>
    </row>
    <row r="70">
      <c r="A70">
        <f t="shared" si="1"/>
        <v>97.57012529</v>
      </c>
    </row>
    <row r="71">
      <c r="A71">
        <f t="shared" si="1"/>
        <v>2481.022717</v>
      </c>
    </row>
    <row r="72">
      <c r="A72">
        <f t="shared" si="1"/>
        <v>16.55057665</v>
      </c>
    </row>
    <row r="73">
      <c r="A73">
        <f t="shared" si="1"/>
        <v>1216.68531</v>
      </c>
    </row>
    <row r="74">
      <c r="A74">
        <f t="shared" si="1"/>
        <v>97.56951271</v>
      </c>
    </row>
    <row r="75">
      <c r="A75">
        <f t="shared" si="1"/>
        <v>2481.024631</v>
      </c>
    </row>
    <row r="76">
      <c r="A76">
        <f t="shared" si="1"/>
        <v>16.55054302</v>
      </c>
    </row>
    <row r="77">
      <c r="A77">
        <f t="shared" si="1"/>
        <v>1216.683451</v>
      </c>
    </row>
    <row r="78">
      <c r="A78">
        <f t="shared" si="1"/>
        <v>97.56985816</v>
      </c>
    </row>
    <row r="79">
      <c r="A79">
        <f t="shared" si="1"/>
        <v>2481.023552</v>
      </c>
    </row>
    <row r="80">
      <c r="A80">
        <f t="shared" si="1"/>
        <v>16.55056199</v>
      </c>
    </row>
    <row r="81">
      <c r="A81">
        <f t="shared" si="1"/>
        <v>1216.684499</v>
      </c>
    </row>
    <row r="82">
      <c r="A82">
        <f t="shared" si="1"/>
        <v>97.56966335</v>
      </c>
    </row>
    <row r="83">
      <c r="A83">
        <f t="shared" si="1"/>
        <v>2481.024161</v>
      </c>
    </row>
    <row r="84">
      <c r="A84">
        <f t="shared" si="1"/>
        <v>16.55055129</v>
      </c>
    </row>
    <row r="85">
      <c r="A85">
        <f t="shared" si="1"/>
        <v>1216.683908</v>
      </c>
    </row>
    <row r="86">
      <c r="A86">
        <f t="shared" si="1"/>
        <v>97.56977321</v>
      </c>
    </row>
    <row r="87">
      <c r="A87">
        <f t="shared" si="1"/>
        <v>2481.023817</v>
      </c>
    </row>
    <row r="88">
      <c r="A88">
        <f t="shared" si="1"/>
        <v>16.55055732</v>
      </c>
    </row>
    <row r="89">
      <c r="A89">
        <f t="shared" si="1"/>
        <v>1216.684242</v>
      </c>
    </row>
    <row r="90">
      <c r="A90">
        <f t="shared" si="1"/>
        <v>97.56971126</v>
      </c>
    </row>
    <row r="91">
      <c r="A91">
        <f t="shared" si="1"/>
        <v>2481.024011</v>
      </c>
    </row>
    <row r="92">
      <c r="A92">
        <f t="shared" si="1"/>
        <v>16.55055392</v>
      </c>
    </row>
    <row r="93">
      <c r="A93">
        <f t="shared" si="1"/>
        <v>1216.684054</v>
      </c>
    </row>
    <row r="94">
      <c r="A94">
        <f t="shared" si="1"/>
        <v>97.56974619</v>
      </c>
    </row>
    <row r="95">
      <c r="A95">
        <f t="shared" si="1"/>
        <v>2481.023902</v>
      </c>
    </row>
    <row r="96">
      <c r="A96">
        <f t="shared" si="1"/>
        <v>16.55055584</v>
      </c>
    </row>
    <row r="97">
      <c r="A97">
        <f t="shared" si="1"/>
        <v>1216.68416</v>
      </c>
    </row>
    <row r="98">
      <c r="A98">
        <f t="shared" si="1"/>
        <v>97.56972649</v>
      </c>
    </row>
    <row r="99">
      <c r="A99">
        <f t="shared" si="1"/>
        <v>2481.023963</v>
      </c>
    </row>
    <row r="100">
      <c r="A100">
        <f t="shared" si="1"/>
        <v>16.55055476</v>
      </c>
    </row>
    <row r="101">
      <c r="A101">
        <f t="shared" si="1"/>
        <v>1216.6841</v>
      </c>
    </row>
    <row r="102">
      <c r="A102">
        <f t="shared" si="1"/>
        <v>97.5697376</v>
      </c>
    </row>
    <row r="103">
      <c r="A103">
        <f t="shared" si="1"/>
        <v>2481.023929</v>
      </c>
    </row>
    <row r="104">
      <c r="A104">
        <f t="shared" si="1"/>
        <v>16.55055537</v>
      </c>
    </row>
    <row r="105">
      <c r="A105">
        <f t="shared" si="1"/>
        <v>1216.684134</v>
      </c>
    </row>
    <row r="106">
      <c r="A106">
        <f t="shared" si="1"/>
        <v>97.56973134</v>
      </c>
    </row>
    <row r="107">
      <c r="A107">
        <f t="shared" si="1"/>
        <v>2481.023948</v>
      </c>
    </row>
    <row r="108">
      <c r="A108">
        <f t="shared" si="1"/>
        <v>16.55055503</v>
      </c>
    </row>
    <row r="109">
      <c r="A109">
        <f t="shared" si="1"/>
        <v>1216.684115</v>
      </c>
    </row>
    <row r="110">
      <c r="A110">
        <f t="shared" si="1"/>
        <v>97.56973487</v>
      </c>
    </row>
    <row r="111">
      <c r="A111">
        <f t="shared" si="1"/>
        <v>2481.023937</v>
      </c>
    </row>
    <row r="112">
      <c r="A112">
        <f t="shared" si="1"/>
        <v>16.55055522</v>
      </c>
    </row>
    <row r="113">
      <c r="A113">
        <f t="shared" si="1"/>
        <v>1216.684125</v>
      </c>
    </row>
    <row r="114">
      <c r="A114">
        <f t="shared" si="1"/>
        <v>97.56973288</v>
      </c>
    </row>
    <row r="115">
      <c r="A115">
        <f t="shared" si="1"/>
        <v>2481.023943</v>
      </c>
    </row>
    <row r="116">
      <c r="A116">
        <f t="shared" si="1"/>
        <v>16.55055511</v>
      </c>
    </row>
    <row r="117">
      <c r="A117">
        <f t="shared" si="1"/>
        <v>1216.684119</v>
      </c>
    </row>
    <row r="118">
      <c r="A118">
        <f t="shared" si="1"/>
        <v>97.569734</v>
      </c>
    </row>
    <row r="119">
      <c r="A119">
        <f t="shared" si="1"/>
        <v>2481.02394</v>
      </c>
    </row>
    <row r="120">
      <c r="A120">
        <f t="shared" si="1"/>
        <v>16.55055517</v>
      </c>
    </row>
    <row r="121">
      <c r="A121">
        <f t="shared" si="1"/>
        <v>1216.684123</v>
      </c>
    </row>
    <row r="122">
      <c r="A122">
        <f t="shared" si="1"/>
        <v>97.56973337</v>
      </c>
    </row>
    <row r="123">
      <c r="A123">
        <f t="shared" si="1"/>
        <v>2481.023942</v>
      </c>
    </row>
    <row r="124">
      <c r="A124">
        <f t="shared" si="1"/>
        <v>16.55055514</v>
      </c>
    </row>
    <row r="125">
      <c r="A125">
        <f t="shared" si="1"/>
        <v>1216.684121</v>
      </c>
    </row>
    <row r="126">
      <c r="A126">
        <f t="shared" si="1"/>
        <v>97.56973372</v>
      </c>
    </row>
    <row r="127">
      <c r="A127">
        <f t="shared" si="1"/>
        <v>2481.023941</v>
      </c>
    </row>
    <row r="128">
      <c r="A128">
        <f t="shared" si="1"/>
        <v>16.55055516</v>
      </c>
    </row>
    <row r="129">
      <c r="A129">
        <f t="shared" si="1"/>
        <v>1216.684122</v>
      </c>
    </row>
    <row r="130">
      <c r="A130">
        <f t="shared" si="1"/>
        <v>97.56973352</v>
      </c>
    </row>
    <row r="131">
      <c r="A131">
        <f t="shared" si="1"/>
        <v>2481.023941</v>
      </c>
    </row>
    <row r="132">
      <c r="A132">
        <f t="shared" si="1"/>
        <v>16.55055515</v>
      </c>
    </row>
    <row r="133">
      <c r="A133">
        <f t="shared" si="1"/>
        <v>1216.684121</v>
      </c>
    </row>
    <row r="134">
      <c r="A134">
        <f t="shared" si="1"/>
        <v>97.56973364</v>
      </c>
    </row>
    <row r="135">
      <c r="A135">
        <f t="shared" si="1"/>
        <v>2481.023941</v>
      </c>
    </row>
    <row r="136">
      <c r="A136">
        <f t="shared" si="1"/>
        <v>16.55055515</v>
      </c>
    </row>
    <row r="137">
      <c r="A137">
        <f t="shared" si="1"/>
        <v>1216.684122</v>
      </c>
    </row>
    <row r="138">
      <c r="A138">
        <f t="shared" si="1"/>
        <v>97.56973357</v>
      </c>
    </row>
    <row r="139">
      <c r="A139">
        <f t="shared" si="1"/>
        <v>2481.023941</v>
      </c>
    </row>
    <row r="140">
      <c r="A140">
        <f t="shared" si="1"/>
        <v>16.55055515</v>
      </c>
    </row>
    <row r="141">
      <c r="A141">
        <f t="shared" si="1"/>
        <v>1216.684121</v>
      </c>
    </row>
    <row r="142">
      <c r="A142">
        <f t="shared" si="1"/>
        <v>97.56973361</v>
      </c>
    </row>
    <row r="143">
      <c r="A143">
        <f t="shared" si="1"/>
        <v>2481.023941</v>
      </c>
    </row>
    <row r="144">
      <c r="A144">
        <f t="shared" si="1"/>
        <v>16.55055515</v>
      </c>
    </row>
    <row r="145">
      <c r="A145">
        <f t="shared" si="1"/>
        <v>1216.684121</v>
      </c>
    </row>
    <row r="146">
      <c r="A146">
        <f t="shared" si="1"/>
        <v>97.56973359</v>
      </c>
    </row>
    <row r="147">
      <c r="A147">
        <f t="shared" si="1"/>
        <v>2481.023941</v>
      </c>
    </row>
    <row r="148">
      <c r="A148">
        <f t="shared" si="1"/>
        <v>16.55055515</v>
      </c>
    </row>
    <row r="149">
      <c r="A149">
        <f t="shared" si="1"/>
        <v>1216.684121</v>
      </c>
    </row>
    <row r="150">
      <c r="A150">
        <f t="shared" si="1"/>
        <v>97.5697336</v>
      </c>
    </row>
    <row r="151">
      <c r="A151">
        <f t="shared" si="1"/>
        <v>2481.023941</v>
      </c>
    </row>
    <row r="152">
      <c r="A152">
        <f t="shared" si="1"/>
        <v>16.55055515</v>
      </c>
    </row>
    <row r="153">
      <c r="A153">
        <f t="shared" si="1"/>
        <v>1216.684121</v>
      </c>
    </row>
    <row r="154">
      <c r="A154">
        <f t="shared" si="1"/>
        <v>97.56973359</v>
      </c>
    </row>
    <row r="155">
      <c r="A155">
        <f t="shared" si="1"/>
        <v>2481.023941</v>
      </c>
    </row>
    <row r="156">
      <c r="A156">
        <f t="shared" si="1"/>
        <v>16.55055515</v>
      </c>
    </row>
    <row r="157">
      <c r="A157">
        <f t="shared" si="1"/>
        <v>1216.684121</v>
      </c>
    </row>
    <row r="158">
      <c r="A158">
        <f t="shared" si="1"/>
        <v>97.5697336</v>
      </c>
    </row>
    <row r="159">
      <c r="A159">
        <f t="shared" si="1"/>
        <v>2481.023941</v>
      </c>
    </row>
    <row r="160">
      <c r="A160">
        <f t="shared" si="1"/>
        <v>16.55055515</v>
      </c>
    </row>
    <row r="161">
      <c r="A161">
        <f t="shared" si="1"/>
        <v>1216.684121</v>
      </c>
    </row>
    <row r="162">
      <c r="A162">
        <f t="shared" si="1"/>
        <v>97.5697336</v>
      </c>
    </row>
    <row r="163">
      <c r="A163">
        <f t="shared" si="1"/>
        <v>2481.023941</v>
      </c>
    </row>
    <row r="164">
      <c r="A164">
        <f t="shared" si="1"/>
        <v>16.55055515</v>
      </c>
    </row>
    <row r="165">
      <c r="A165">
        <f t="shared" si="1"/>
        <v>1216.684121</v>
      </c>
    </row>
    <row r="166">
      <c r="A166">
        <f t="shared" si="1"/>
        <v>97.5697336</v>
      </c>
    </row>
    <row r="167">
      <c r="A167">
        <f t="shared" si="1"/>
        <v>2481.023941</v>
      </c>
    </row>
    <row r="168">
      <c r="A168">
        <f t="shared" si="1"/>
        <v>16.55055515</v>
      </c>
    </row>
    <row r="169">
      <c r="A169">
        <f t="shared" si="1"/>
        <v>1216.684121</v>
      </c>
    </row>
    <row r="170">
      <c r="A170">
        <f t="shared" si="1"/>
        <v>97.5697336</v>
      </c>
    </row>
    <row r="171">
      <c r="A171">
        <f t="shared" si="1"/>
        <v>2481.023941</v>
      </c>
    </row>
    <row r="172">
      <c r="A172">
        <f t="shared" si="1"/>
        <v>16.55055515</v>
      </c>
    </row>
    <row r="173">
      <c r="A173">
        <f t="shared" si="1"/>
        <v>1216.684121</v>
      </c>
    </row>
    <row r="174">
      <c r="A174">
        <f t="shared" si="1"/>
        <v>97.5697336</v>
      </c>
    </row>
    <row r="175">
      <c r="A175">
        <f t="shared" si="1"/>
        <v>2481.023941</v>
      </c>
    </row>
    <row r="176">
      <c r="A176">
        <f t="shared" si="1"/>
        <v>16.55055515</v>
      </c>
    </row>
    <row r="177">
      <c r="A177">
        <f t="shared" si="1"/>
        <v>1216.684121</v>
      </c>
    </row>
    <row r="178">
      <c r="A178">
        <f t="shared" si="1"/>
        <v>97.5697336</v>
      </c>
    </row>
    <row r="179">
      <c r="A179">
        <f t="shared" si="1"/>
        <v>2481.023941</v>
      </c>
    </row>
    <row r="180">
      <c r="A180">
        <f t="shared" si="1"/>
        <v>16.55055515</v>
      </c>
    </row>
    <row r="181">
      <c r="A181">
        <f t="shared" si="1"/>
        <v>1216.684121</v>
      </c>
    </row>
    <row r="182">
      <c r="A182">
        <f t="shared" si="1"/>
        <v>97.5697336</v>
      </c>
    </row>
    <row r="183">
      <c r="A183">
        <f t="shared" si="1"/>
        <v>2481.023941</v>
      </c>
    </row>
    <row r="184">
      <c r="A184">
        <f t="shared" si="1"/>
        <v>16.55055515</v>
      </c>
    </row>
    <row r="185">
      <c r="A185">
        <f t="shared" si="1"/>
        <v>1216.684121</v>
      </c>
    </row>
    <row r="186">
      <c r="A186">
        <f t="shared" si="1"/>
        <v>97.5697336</v>
      </c>
    </row>
    <row r="187">
      <c r="A187">
        <f t="shared" si="1"/>
        <v>2481.023941</v>
      </c>
    </row>
    <row r="188">
      <c r="A188">
        <f t="shared" si="1"/>
        <v>16.55055515</v>
      </c>
    </row>
    <row r="189">
      <c r="A189">
        <f t="shared" si="1"/>
        <v>1216.684121</v>
      </c>
    </row>
    <row r="190">
      <c r="A190">
        <f t="shared" si="1"/>
        <v>97.5697336</v>
      </c>
    </row>
    <row r="191">
      <c r="A191">
        <f t="shared" si="1"/>
        <v>2481.023941</v>
      </c>
    </row>
    <row r="192">
      <c r="A192">
        <f t="shared" si="1"/>
        <v>16.55055515</v>
      </c>
    </row>
    <row r="193">
      <c r="A193">
        <f t="shared" si="1"/>
        <v>1216.684121</v>
      </c>
    </row>
    <row r="194">
      <c r="A194">
        <f t="shared" si="1"/>
        <v>97.5697336</v>
      </c>
    </row>
    <row r="195">
      <c r="A195">
        <f t="shared" si="1"/>
        <v>2481.023941</v>
      </c>
    </row>
    <row r="196">
      <c r="A196">
        <f t="shared" si="1"/>
        <v>16.55055515</v>
      </c>
    </row>
    <row r="197">
      <c r="A197">
        <f t="shared" si="1"/>
        <v>1216.684121</v>
      </c>
    </row>
    <row r="198">
      <c r="A198">
        <f t="shared" si="1"/>
        <v>97.5697336</v>
      </c>
    </row>
    <row r="199">
      <c r="A199">
        <f t="shared" si="1"/>
        <v>2481.023941</v>
      </c>
    </row>
    <row r="200">
      <c r="A200">
        <f t="shared" si="1"/>
        <v>16.55055515</v>
      </c>
    </row>
    <row r="201">
      <c r="A201">
        <f t="shared" si="1"/>
        <v>1216.684121</v>
      </c>
    </row>
    <row r="202">
      <c r="A202">
        <f t="shared" si="1"/>
        <v>97.5697336</v>
      </c>
    </row>
    <row r="203">
      <c r="A203">
        <f t="shared" si="1"/>
        <v>2481.023941</v>
      </c>
    </row>
    <row r="204">
      <c r="A204">
        <f t="shared" si="1"/>
        <v>16.55055515</v>
      </c>
    </row>
    <row r="205">
      <c r="A205">
        <f t="shared" si="1"/>
        <v>1216.684121</v>
      </c>
    </row>
    <row r="206">
      <c r="A206">
        <f t="shared" si="1"/>
        <v>97.5697336</v>
      </c>
    </row>
    <row r="207">
      <c r="A207">
        <f t="shared" si="1"/>
        <v>2481.023941</v>
      </c>
    </row>
    <row r="208">
      <c r="A208">
        <f t="shared" si="1"/>
        <v>16.55055515</v>
      </c>
    </row>
    <row r="209">
      <c r="A209">
        <f t="shared" si="1"/>
        <v>1216.684121</v>
      </c>
    </row>
    <row r="210">
      <c r="A210">
        <f t="shared" si="1"/>
        <v>97.5697336</v>
      </c>
    </row>
    <row r="211">
      <c r="A211">
        <f t="shared" si="1"/>
        <v>2481.023941</v>
      </c>
    </row>
    <row r="212">
      <c r="A212">
        <f t="shared" si="1"/>
        <v>16.55055515</v>
      </c>
    </row>
    <row r="213">
      <c r="A213">
        <f t="shared" si="1"/>
        <v>1216.684121</v>
      </c>
    </row>
    <row r="214">
      <c r="A214">
        <f t="shared" si="1"/>
        <v>97.5697336</v>
      </c>
    </row>
    <row r="215">
      <c r="A215">
        <f t="shared" si="1"/>
        <v>2481.023941</v>
      </c>
    </row>
    <row r="216">
      <c r="A216">
        <f t="shared" si="1"/>
        <v>16.55055515</v>
      </c>
    </row>
    <row r="217">
      <c r="A217">
        <f t="shared" si="1"/>
        <v>1216.684121</v>
      </c>
    </row>
    <row r="218">
      <c r="A218">
        <f t="shared" si="1"/>
        <v>97.5697336</v>
      </c>
    </row>
    <row r="219">
      <c r="A219">
        <f t="shared" si="1"/>
        <v>2481.023941</v>
      </c>
    </row>
    <row r="220">
      <c r="A220">
        <f t="shared" si="1"/>
        <v>16.55055515</v>
      </c>
    </row>
    <row r="221">
      <c r="A221">
        <f t="shared" si="1"/>
        <v>1216.684121</v>
      </c>
    </row>
    <row r="222">
      <c r="A222">
        <f t="shared" si="1"/>
        <v>97.5697336</v>
      </c>
    </row>
    <row r="223">
      <c r="A223">
        <f t="shared" si="1"/>
        <v>2481.023941</v>
      </c>
    </row>
    <row r="224">
      <c r="A224">
        <f t="shared" si="1"/>
        <v>16.55055515</v>
      </c>
    </row>
    <row r="225">
      <c r="A225">
        <f t="shared" si="1"/>
        <v>1216.684121</v>
      </c>
    </row>
    <row r="226">
      <c r="A226">
        <f t="shared" si="1"/>
        <v>97.5697336</v>
      </c>
    </row>
    <row r="227">
      <c r="A227">
        <f t="shared" si="1"/>
        <v>2481.023941</v>
      </c>
    </row>
    <row r="228">
      <c r="A228">
        <f t="shared" si="1"/>
        <v>16.55055515</v>
      </c>
    </row>
    <row r="229">
      <c r="A229">
        <f t="shared" si="1"/>
        <v>1216.684121</v>
      </c>
    </row>
    <row r="230">
      <c r="A230">
        <f t="shared" si="1"/>
        <v>97.5697336</v>
      </c>
    </row>
    <row r="231">
      <c r="A231">
        <f t="shared" si="1"/>
        <v>2481.023941</v>
      </c>
    </row>
    <row r="232">
      <c r="A232">
        <f t="shared" si="1"/>
        <v>16.55055515</v>
      </c>
    </row>
    <row r="233">
      <c r="A233">
        <f t="shared" si="1"/>
        <v>1216.684121</v>
      </c>
    </row>
    <row r="234">
      <c r="A234">
        <f t="shared" si="1"/>
        <v>97.5697336</v>
      </c>
    </row>
    <row r="235">
      <c r="A235">
        <f t="shared" si="1"/>
        <v>2481.023941</v>
      </c>
    </row>
    <row r="236">
      <c r="A236">
        <f t="shared" si="1"/>
        <v>16.55055515</v>
      </c>
    </row>
    <row r="237">
      <c r="A237">
        <f t="shared" si="1"/>
        <v>1216.684121</v>
      </c>
    </row>
    <row r="238">
      <c r="A238">
        <f t="shared" si="1"/>
        <v>97.5697336</v>
      </c>
    </row>
    <row r="239">
      <c r="A239">
        <f t="shared" si="1"/>
        <v>2481.023941</v>
      </c>
    </row>
    <row r="240">
      <c r="A240">
        <f t="shared" si="1"/>
        <v>16.55055515</v>
      </c>
    </row>
    <row r="241">
      <c r="A241">
        <f t="shared" si="1"/>
        <v>1216.684121</v>
      </c>
    </row>
    <row r="242">
      <c r="A242">
        <f t="shared" si="1"/>
        <v>97.5697336</v>
      </c>
    </row>
    <row r="243">
      <c r="A243">
        <f t="shared" si="1"/>
        <v>2481.023941</v>
      </c>
    </row>
    <row r="244">
      <c r="A244">
        <f t="shared" si="1"/>
        <v>16.55055515</v>
      </c>
    </row>
    <row r="245">
      <c r="A245">
        <f t="shared" si="1"/>
        <v>1216.684121</v>
      </c>
    </row>
    <row r="246">
      <c r="A246">
        <f t="shared" si="1"/>
        <v>97.5697336</v>
      </c>
    </row>
    <row r="247">
      <c r="A247">
        <f t="shared" si="1"/>
        <v>2481.023941</v>
      </c>
    </row>
    <row r="248">
      <c r="A248">
        <f t="shared" si="1"/>
        <v>16.55055515</v>
      </c>
    </row>
    <row r="249">
      <c r="A249">
        <f t="shared" si="1"/>
        <v>1216.684121</v>
      </c>
    </row>
    <row r="250">
      <c r="A250">
        <f t="shared" si="1"/>
        <v>97.5697336</v>
      </c>
    </row>
    <row r="251">
      <c r="A251">
        <f t="shared" si="1"/>
        <v>2481.023941</v>
      </c>
    </row>
    <row r="252">
      <c r="A252">
        <f t="shared" si="1"/>
        <v>16.55055515</v>
      </c>
    </row>
    <row r="253">
      <c r="A253">
        <f t="shared" si="1"/>
        <v>1216.684121</v>
      </c>
    </row>
    <row r="254">
      <c r="A254">
        <f t="shared" si="1"/>
        <v>97.5697336</v>
      </c>
    </row>
    <row r="255">
      <c r="A255">
        <f t="shared" si="1"/>
        <v>2481.023941</v>
      </c>
    </row>
    <row r="256">
      <c r="A256">
        <f t="shared" si="1"/>
        <v>16.55055515</v>
      </c>
    </row>
    <row r="257">
      <c r="A257">
        <f t="shared" si="1"/>
        <v>1216.684121</v>
      </c>
    </row>
    <row r="258">
      <c r="A258">
        <f t="shared" si="1"/>
        <v>97.5697336</v>
      </c>
    </row>
    <row r="259">
      <c r="A259">
        <f t="shared" si="1"/>
        <v>2481.023941</v>
      </c>
    </row>
    <row r="260">
      <c r="A260">
        <f t="shared" si="1"/>
        <v>16.55055515</v>
      </c>
    </row>
    <row r="261">
      <c r="A261">
        <f t="shared" si="1"/>
        <v>1216.684121</v>
      </c>
    </row>
    <row r="262">
      <c r="A262">
        <f t="shared" si="1"/>
        <v>97.5697336</v>
      </c>
    </row>
    <row r="263">
      <c r="A263">
        <f t="shared" si="1"/>
        <v>2481.023941</v>
      </c>
    </row>
    <row r="264">
      <c r="A264">
        <f t="shared" si="1"/>
        <v>16.55055515</v>
      </c>
    </row>
    <row r="265">
      <c r="A265">
        <f t="shared" si="1"/>
        <v>1216.684121</v>
      </c>
    </row>
    <row r="266">
      <c r="A266">
        <f t="shared" si="1"/>
        <v>97.5697336</v>
      </c>
    </row>
    <row r="267">
      <c r="A267">
        <f t="shared" si="1"/>
        <v>2481.023941</v>
      </c>
    </row>
    <row r="268">
      <c r="A268">
        <f t="shared" si="1"/>
        <v>16.55055515</v>
      </c>
    </row>
    <row r="269">
      <c r="A269">
        <f t="shared" si="1"/>
        <v>1216.684121</v>
      </c>
    </row>
    <row r="270">
      <c r="A270">
        <f t="shared" si="1"/>
        <v>97.5697336</v>
      </c>
    </row>
    <row r="271">
      <c r="A271">
        <f t="shared" si="1"/>
        <v>2481.023941</v>
      </c>
    </row>
    <row r="272">
      <c r="A272">
        <f t="shared" si="1"/>
        <v>16.55055515</v>
      </c>
    </row>
    <row r="273">
      <c r="A273">
        <f t="shared" si="1"/>
        <v>1216.684121</v>
      </c>
    </row>
    <row r="274">
      <c r="A274">
        <f t="shared" si="1"/>
        <v>97.5697336</v>
      </c>
    </row>
    <row r="275">
      <c r="A275">
        <f t="shared" si="1"/>
        <v>2481.023941</v>
      </c>
    </row>
    <row r="276">
      <c r="A276">
        <f t="shared" si="1"/>
        <v>16.55055515</v>
      </c>
    </row>
    <row r="277">
      <c r="A277">
        <f t="shared" si="1"/>
        <v>1216.684121</v>
      </c>
    </row>
    <row r="278">
      <c r="A278">
        <f t="shared" si="1"/>
        <v>97.5697336</v>
      </c>
    </row>
    <row r="279">
      <c r="A279">
        <f t="shared" si="1"/>
        <v>2481.023941</v>
      </c>
    </row>
    <row r="280">
      <c r="A280">
        <f t="shared" si="1"/>
        <v>16.55055515</v>
      </c>
    </row>
    <row r="281">
      <c r="A281">
        <f t="shared" si="1"/>
        <v>1216.684121</v>
      </c>
    </row>
    <row r="282">
      <c r="A282">
        <f t="shared" si="1"/>
        <v>97.5697336</v>
      </c>
    </row>
    <row r="283">
      <c r="A283">
        <f t="shared" si="1"/>
        <v>2481.023941</v>
      </c>
    </row>
    <row r="284">
      <c r="A284">
        <f t="shared" si="1"/>
        <v>16.55055515</v>
      </c>
    </row>
    <row r="285">
      <c r="A285">
        <f t="shared" si="1"/>
        <v>1216.684121</v>
      </c>
    </row>
    <row r="286">
      <c r="A286">
        <f t="shared" si="1"/>
        <v>97.5697336</v>
      </c>
    </row>
    <row r="287">
      <c r="A287">
        <f t="shared" si="1"/>
        <v>2481.023941</v>
      </c>
    </row>
    <row r="288">
      <c r="A288">
        <f t="shared" si="1"/>
        <v>16.55055515</v>
      </c>
    </row>
    <row r="289">
      <c r="A289">
        <f t="shared" si="1"/>
        <v>1216.684121</v>
      </c>
    </row>
    <row r="290">
      <c r="A290">
        <f t="shared" si="1"/>
        <v>97.5697336</v>
      </c>
    </row>
    <row r="291">
      <c r="A291">
        <f t="shared" si="1"/>
        <v>2481.023941</v>
      </c>
    </row>
    <row r="292">
      <c r="A292">
        <f t="shared" si="1"/>
        <v>16.55055515</v>
      </c>
    </row>
    <row r="293">
      <c r="A293">
        <f t="shared" si="1"/>
        <v>1216.684121</v>
      </c>
    </row>
    <row r="294">
      <c r="A294">
        <f t="shared" si="1"/>
        <v>97.5697336</v>
      </c>
    </row>
    <row r="295">
      <c r="A295">
        <f t="shared" si="1"/>
        <v>2481.023941</v>
      </c>
    </row>
    <row r="296">
      <c r="A296">
        <f t="shared" si="1"/>
        <v>16.55055515</v>
      </c>
    </row>
    <row r="297">
      <c r="A297">
        <f t="shared" si="1"/>
        <v>1216.684121</v>
      </c>
    </row>
    <row r="298">
      <c r="A298">
        <f t="shared" si="1"/>
        <v>97.5697336</v>
      </c>
    </row>
    <row r="299">
      <c r="A299">
        <f t="shared" si="1"/>
        <v>2481.023941</v>
      </c>
    </row>
    <row r="300">
      <c r="A300">
        <f t="shared" si="1"/>
        <v>16.55055515</v>
      </c>
    </row>
    <row r="301">
      <c r="A301">
        <f t="shared" si="1"/>
        <v>1216.684121</v>
      </c>
    </row>
    <row r="302">
      <c r="A302">
        <f t="shared" si="1"/>
        <v>97.5697336</v>
      </c>
    </row>
    <row r="303">
      <c r="A303">
        <f t="shared" si="1"/>
        <v>2481.023941</v>
      </c>
    </row>
    <row r="304">
      <c r="A304">
        <f t="shared" si="1"/>
        <v>16.55055515</v>
      </c>
    </row>
    <row r="305">
      <c r="A305">
        <f t="shared" si="1"/>
        <v>1216.684121</v>
      </c>
    </row>
    <row r="306">
      <c r="A306">
        <f t="shared" si="1"/>
        <v>97.5697336</v>
      </c>
    </row>
    <row r="307">
      <c r="A307">
        <f t="shared" si="1"/>
        <v>2481.023941</v>
      </c>
    </row>
    <row r="308">
      <c r="A308">
        <f t="shared" si="1"/>
        <v>16.55055515</v>
      </c>
    </row>
    <row r="309">
      <c r="A309">
        <f t="shared" si="1"/>
        <v>1216.684121</v>
      </c>
    </row>
    <row r="310">
      <c r="A310">
        <f t="shared" si="1"/>
        <v>97.5697336</v>
      </c>
    </row>
    <row r="311">
      <c r="A311">
        <f t="shared" si="1"/>
        <v>2481.023941</v>
      </c>
    </row>
    <row r="312">
      <c r="A312">
        <f t="shared" si="1"/>
        <v>16.55055515</v>
      </c>
    </row>
    <row r="313">
      <c r="A313">
        <f t="shared" si="1"/>
        <v>1216.684121</v>
      </c>
    </row>
    <row r="314">
      <c r="A314">
        <f t="shared" si="1"/>
        <v>97.5697336</v>
      </c>
    </row>
    <row r="315">
      <c r="A315">
        <f t="shared" si="1"/>
        <v>2481.023941</v>
      </c>
    </row>
    <row r="316">
      <c r="A316">
        <f t="shared" si="1"/>
        <v>16.55055515</v>
      </c>
    </row>
    <row r="317">
      <c r="A317">
        <f t="shared" si="1"/>
        <v>1216.684121</v>
      </c>
    </row>
    <row r="318">
      <c r="A318">
        <f t="shared" si="1"/>
        <v>97.5697336</v>
      </c>
    </row>
    <row r="319">
      <c r="A319">
        <f t="shared" si="1"/>
        <v>2481.023941</v>
      </c>
    </row>
    <row r="320">
      <c r="A320">
        <f t="shared" si="1"/>
        <v>16.55055515</v>
      </c>
    </row>
    <row r="321">
      <c r="A321">
        <f t="shared" si="1"/>
        <v>1216.684121</v>
      </c>
    </row>
    <row r="322">
      <c r="A322">
        <f t="shared" si="1"/>
        <v>97.5697336</v>
      </c>
    </row>
    <row r="323">
      <c r="A323">
        <f t="shared" si="1"/>
        <v>2481.023941</v>
      </c>
    </row>
    <row r="324">
      <c r="A324">
        <f t="shared" si="1"/>
        <v>16.55055515</v>
      </c>
    </row>
    <row r="325">
      <c r="A325">
        <f t="shared" si="1"/>
        <v>1216.684121</v>
      </c>
    </row>
    <row r="326">
      <c r="A326">
        <f t="shared" si="1"/>
        <v>97.5697336</v>
      </c>
    </row>
    <row r="327">
      <c r="A327">
        <f t="shared" si="1"/>
        <v>2481.023941</v>
      </c>
    </row>
    <row r="328">
      <c r="A328">
        <f t="shared" si="1"/>
        <v>16.55055515</v>
      </c>
    </row>
    <row r="329">
      <c r="A329">
        <f t="shared" si="1"/>
        <v>1216.684121</v>
      </c>
    </row>
    <row r="330">
      <c r="A330">
        <f t="shared" si="1"/>
        <v>97.5697336</v>
      </c>
    </row>
    <row r="331">
      <c r="A331">
        <f t="shared" si="1"/>
        <v>2481.023941</v>
      </c>
    </row>
    <row r="332">
      <c r="A332">
        <f t="shared" si="1"/>
        <v>16.55055515</v>
      </c>
    </row>
    <row r="333">
      <c r="A333">
        <f t="shared" si="1"/>
        <v>1216.684121</v>
      </c>
    </row>
    <row r="334">
      <c r="A334">
        <f t="shared" si="1"/>
        <v>97.5697336</v>
      </c>
    </row>
    <row r="335">
      <c r="A335">
        <f t="shared" si="1"/>
        <v>2481.023941</v>
      </c>
    </row>
    <row r="336">
      <c r="A336">
        <f t="shared" si="1"/>
        <v>16.55055515</v>
      </c>
    </row>
    <row r="337">
      <c r="A337">
        <f t="shared" si="1"/>
        <v>1216.684121</v>
      </c>
    </row>
    <row r="338">
      <c r="A338">
        <f t="shared" si="1"/>
        <v>97.5697336</v>
      </c>
    </row>
    <row r="339">
      <c r="A339">
        <f t="shared" si="1"/>
        <v>2481.023941</v>
      </c>
    </row>
    <row r="340">
      <c r="A340">
        <f t="shared" si="1"/>
        <v>16.55055515</v>
      </c>
    </row>
    <row r="341">
      <c r="A341">
        <f t="shared" si="1"/>
        <v>1216.684121</v>
      </c>
    </row>
    <row r="342">
      <c r="A342">
        <f t="shared" si="1"/>
        <v>97.5697336</v>
      </c>
    </row>
    <row r="343">
      <c r="A343">
        <f t="shared" si="1"/>
        <v>2481.023941</v>
      </c>
    </row>
    <row r="344">
      <c r="A344">
        <f t="shared" si="1"/>
        <v>16.55055515</v>
      </c>
    </row>
    <row r="345">
      <c r="A345">
        <f t="shared" si="1"/>
        <v>1216.684121</v>
      </c>
    </row>
    <row r="346">
      <c r="A346">
        <f t="shared" si="1"/>
        <v>97.5697336</v>
      </c>
    </row>
    <row r="347">
      <c r="A347">
        <f t="shared" si="1"/>
        <v>2481.023941</v>
      </c>
    </row>
    <row r="348">
      <c r="A348">
        <f t="shared" si="1"/>
        <v>16.55055515</v>
      </c>
    </row>
    <row r="349">
      <c r="A349">
        <f t="shared" si="1"/>
        <v>1216.684121</v>
      </c>
    </row>
    <row r="350">
      <c r="A350">
        <f t="shared" si="1"/>
        <v>97.5697336</v>
      </c>
    </row>
    <row r="351">
      <c r="A351">
        <f t="shared" si="1"/>
        <v>2481.023941</v>
      </c>
    </row>
    <row r="352">
      <c r="A352">
        <f t="shared" si="1"/>
        <v>16.55055515</v>
      </c>
    </row>
    <row r="353">
      <c r="A353">
        <f t="shared" si="1"/>
        <v>1216.684121</v>
      </c>
    </row>
    <row r="354">
      <c r="A354">
        <f t="shared" si="1"/>
        <v>97.5697336</v>
      </c>
    </row>
    <row r="355">
      <c r="A355">
        <f t="shared" si="1"/>
        <v>2481.023941</v>
      </c>
    </row>
    <row r="356">
      <c r="A356">
        <f t="shared" si="1"/>
        <v>16.55055515</v>
      </c>
    </row>
    <row r="357">
      <c r="A357">
        <f t="shared" si="1"/>
        <v>1216.684121</v>
      </c>
    </row>
    <row r="358">
      <c r="A358">
        <f t="shared" si="1"/>
        <v>97.5697336</v>
      </c>
    </row>
    <row r="359">
      <c r="A359">
        <f t="shared" si="1"/>
        <v>2481.023941</v>
      </c>
    </row>
    <row r="360">
      <c r="A360">
        <f t="shared" si="1"/>
        <v>16.55055515</v>
      </c>
    </row>
    <row r="361">
      <c r="A361">
        <f t="shared" si="1"/>
        <v>1216.684121</v>
      </c>
    </row>
    <row r="362">
      <c r="A362">
        <f t="shared" si="1"/>
        <v>97.5697336</v>
      </c>
    </row>
    <row r="363">
      <c r="A363">
        <f t="shared" si="1"/>
        <v>2481.023941</v>
      </c>
    </row>
    <row r="364">
      <c r="A364">
        <f t="shared" si="1"/>
        <v>16.55055515</v>
      </c>
    </row>
    <row r="365">
      <c r="A365">
        <f t="shared" si="1"/>
        <v>1216.684121</v>
      </c>
    </row>
    <row r="366">
      <c r="A366">
        <f t="shared" si="1"/>
        <v>97.5697336</v>
      </c>
    </row>
    <row r="367">
      <c r="A367">
        <f t="shared" si="1"/>
        <v>2481.023941</v>
      </c>
    </row>
    <row r="368">
      <c r="A368">
        <f t="shared" si="1"/>
        <v>16.55055515</v>
      </c>
    </row>
    <row r="369">
      <c r="A369">
        <f t="shared" si="1"/>
        <v>1216.684121</v>
      </c>
    </row>
    <row r="370">
      <c r="A370">
        <f t="shared" si="1"/>
        <v>97.5697336</v>
      </c>
    </row>
    <row r="371">
      <c r="A371">
        <f t="shared" si="1"/>
        <v>2481.023941</v>
      </c>
    </row>
    <row r="372">
      <c r="A372">
        <f t="shared" si="1"/>
        <v>16.55055515</v>
      </c>
    </row>
    <row r="373">
      <c r="A373">
        <f t="shared" si="1"/>
        <v>1216.684121</v>
      </c>
    </row>
    <row r="374">
      <c r="A374">
        <f t="shared" si="1"/>
        <v>97.5697336</v>
      </c>
    </row>
    <row r="375">
      <c r="A375">
        <f t="shared" si="1"/>
        <v>2481.023941</v>
      </c>
    </row>
    <row r="376">
      <c r="A376">
        <f t="shared" si="1"/>
        <v>16.55055515</v>
      </c>
    </row>
    <row r="377">
      <c r="A377">
        <f t="shared" si="1"/>
        <v>1216.684121</v>
      </c>
    </row>
    <row r="378">
      <c r="A378">
        <f t="shared" si="1"/>
        <v>97.5697336</v>
      </c>
    </row>
    <row r="379">
      <c r="A379">
        <f t="shared" si="1"/>
        <v>2481.023941</v>
      </c>
    </row>
    <row r="380">
      <c r="A380">
        <f t="shared" si="1"/>
        <v>16.55055515</v>
      </c>
    </row>
    <row r="381">
      <c r="A381">
        <f t="shared" si="1"/>
        <v>1216.684121</v>
      </c>
    </row>
    <row r="382">
      <c r="A382">
        <f t="shared" si="1"/>
        <v>97.5697336</v>
      </c>
    </row>
    <row r="383">
      <c r="A383">
        <f t="shared" si="1"/>
        <v>2481.023941</v>
      </c>
    </row>
    <row r="384">
      <c r="A384">
        <f t="shared" si="1"/>
        <v>16.55055515</v>
      </c>
    </row>
    <row r="385">
      <c r="A385">
        <f t="shared" si="1"/>
        <v>1216.684121</v>
      </c>
    </row>
    <row r="386">
      <c r="A386">
        <f t="shared" si="1"/>
        <v>97.5697336</v>
      </c>
    </row>
    <row r="387">
      <c r="A387">
        <f t="shared" si="1"/>
        <v>2481.023941</v>
      </c>
    </row>
    <row r="388">
      <c r="A388">
        <f t="shared" si="1"/>
        <v>16.55055515</v>
      </c>
    </row>
    <row r="389">
      <c r="A389">
        <f t="shared" si="1"/>
        <v>1216.684121</v>
      </c>
    </row>
    <row r="390">
      <c r="A390">
        <f t="shared" si="1"/>
        <v>97.5697336</v>
      </c>
    </row>
    <row r="391">
      <c r="A391">
        <f t="shared" si="1"/>
        <v>2481.023941</v>
      </c>
    </row>
    <row r="392">
      <c r="A392">
        <f t="shared" si="1"/>
        <v>16.55055515</v>
      </c>
    </row>
    <row r="393">
      <c r="A393">
        <f t="shared" si="1"/>
        <v>1216.684121</v>
      </c>
    </row>
    <row r="394">
      <c r="A394">
        <f t="shared" si="1"/>
        <v>97.5697336</v>
      </c>
    </row>
    <row r="395">
      <c r="A395">
        <f t="shared" si="1"/>
        <v>2481.023941</v>
      </c>
    </row>
    <row r="396">
      <c r="A396">
        <f t="shared" si="1"/>
        <v>16.55055515</v>
      </c>
    </row>
    <row r="397">
      <c r="A397">
        <f t="shared" si="1"/>
        <v>1216.684121</v>
      </c>
    </row>
    <row r="398">
      <c r="A398">
        <f t="shared" si="1"/>
        <v>97.5697336</v>
      </c>
    </row>
    <row r="399">
      <c r="A399">
        <f t="shared" si="1"/>
        <v>2481.023941</v>
      </c>
    </row>
    <row r="400">
      <c r="A400">
        <f t="shared" si="1"/>
        <v>16.55055515</v>
      </c>
    </row>
    <row r="401">
      <c r="A401">
        <f t="shared" si="1"/>
        <v>1216.684121</v>
      </c>
    </row>
    <row r="402">
      <c r="A402">
        <f t="shared" si="1"/>
        <v>97.5697336</v>
      </c>
    </row>
    <row r="403">
      <c r="A403">
        <f t="shared" si="1"/>
        <v>2481.023941</v>
      </c>
    </row>
    <row r="404">
      <c r="A404">
        <f t="shared" si="1"/>
        <v>16.55055515</v>
      </c>
    </row>
    <row r="405">
      <c r="A405">
        <f t="shared" si="1"/>
        <v>1216.684121</v>
      </c>
    </row>
    <row r="406">
      <c r="A406">
        <f t="shared" si="1"/>
        <v>97.5697336</v>
      </c>
    </row>
    <row r="407">
      <c r="A407">
        <f t="shared" si="1"/>
        <v>2481.023941</v>
      </c>
    </row>
    <row r="408">
      <c r="A408">
        <f t="shared" si="1"/>
        <v>16.55055515</v>
      </c>
    </row>
    <row r="409">
      <c r="A409">
        <f t="shared" si="1"/>
        <v>1216.684121</v>
      </c>
    </row>
    <row r="410">
      <c r="A410">
        <f t="shared" si="1"/>
        <v>97.5697336</v>
      </c>
    </row>
    <row r="411">
      <c r="A411">
        <f t="shared" si="1"/>
        <v>2481.023941</v>
      </c>
    </row>
    <row r="412">
      <c r="A412">
        <f t="shared" si="1"/>
        <v>16.55055515</v>
      </c>
    </row>
    <row r="413">
      <c r="A413">
        <f t="shared" si="1"/>
        <v>1216.684121</v>
      </c>
    </row>
    <row r="414">
      <c r="A414">
        <f t="shared" si="1"/>
        <v>97.5697336</v>
      </c>
    </row>
    <row r="415">
      <c r="A415">
        <f t="shared" si="1"/>
        <v>2481.023941</v>
      </c>
    </row>
    <row r="416">
      <c r="A416">
        <f t="shared" si="1"/>
        <v>16.55055515</v>
      </c>
    </row>
    <row r="417">
      <c r="A417">
        <f t="shared" si="1"/>
        <v>1216.684121</v>
      </c>
    </row>
    <row r="418">
      <c r="A418">
        <f t="shared" si="1"/>
        <v>97.5697336</v>
      </c>
    </row>
    <row r="419">
      <c r="A419">
        <f t="shared" si="1"/>
        <v>2481.023941</v>
      </c>
    </row>
    <row r="420">
      <c r="A420">
        <f t="shared" si="1"/>
        <v>16.55055515</v>
      </c>
    </row>
    <row r="421">
      <c r="A421">
        <f t="shared" si="1"/>
        <v>1216.684121</v>
      </c>
    </row>
    <row r="422">
      <c r="A422">
        <f t="shared" si="1"/>
        <v>97.5697336</v>
      </c>
    </row>
    <row r="423">
      <c r="A423">
        <f t="shared" si="1"/>
        <v>2481.023941</v>
      </c>
    </row>
    <row r="424">
      <c r="A424">
        <f t="shared" si="1"/>
        <v>16.55055515</v>
      </c>
    </row>
    <row r="425">
      <c r="A425">
        <f t="shared" si="1"/>
        <v>1216.684121</v>
      </c>
    </row>
    <row r="426">
      <c r="A426">
        <f t="shared" si="1"/>
        <v>97.5697336</v>
      </c>
    </row>
    <row r="427">
      <c r="A427">
        <f t="shared" si="1"/>
        <v>2481.023941</v>
      </c>
    </row>
    <row r="428">
      <c r="A428">
        <f t="shared" si="1"/>
        <v>16.55055515</v>
      </c>
    </row>
    <row r="429">
      <c r="A429">
        <f t="shared" si="1"/>
        <v>1216.684121</v>
      </c>
    </row>
    <row r="430">
      <c r="A430">
        <f t="shared" si="1"/>
        <v>97.5697336</v>
      </c>
    </row>
    <row r="431">
      <c r="A431">
        <f t="shared" si="1"/>
        <v>2481.023941</v>
      </c>
    </row>
    <row r="432">
      <c r="A432">
        <f t="shared" si="1"/>
        <v>16.55055515</v>
      </c>
    </row>
    <row r="433">
      <c r="A433">
        <f t="shared" si="1"/>
        <v>1216.684121</v>
      </c>
    </row>
    <row r="434">
      <c r="A434">
        <f t="shared" si="1"/>
        <v>97.5697336</v>
      </c>
    </row>
    <row r="435">
      <c r="A435">
        <f t="shared" si="1"/>
        <v>2481.023941</v>
      </c>
    </row>
    <row r="436">
      <c r="A436">
        <f t="shared" si="1"/>
        <v>16.55055515</v>
      </c>
    </row>
    <row r="437">
      <c r="A437">
        <f t="shared" si="1"/>
        <v>1216.684121</v>
      </c>
    </row>
    <row r="438">
      <c r="A438">
        <f t="shared" si="1"/>
        <v>97.5697336</v>
      </c>
    </row>
    <row r="439">
      <c r="A439">
        <f t="shared" si="1"/>
        <v>2481.023941</v>
      </c>
    </row>
    <row r="440">
      <c r="A440">
        <f t="shared" si="1"/>
        <v>16.55055515</v>
      </c>
    </row>
    <row r="441">
      <c r="A441">
        <f t="shared" si="1"/>
        <v>1216.684121</v>
      </c>
    </row>
    <row r="442">
      <c r="A442">
        <f t="shared" si="1"/>
        <v>97.5697336</v>
      </c>
    </row>
    <row r="443">
      <c r="A443">
        <f t="shared" si="1"/>
        <v>2481.023941</v>
      </c>
    </row>
    <row r="444">
      <c r="A444">
        <f t="shared" si="1"/>
        <v>16.55055515</v>
      </c>
    </row>
    <row r="445">
      <c r="A445">
        <f t="shared" si="1"/>
        <v>1216.684121</v>
      </c>
    </row>
    <row r="446">
      <c r="A446">
        <f t="shared" si="1"/>
        <v>97.5697336</v>
      </c>
    </row>
    <row r="447">
      <c r="A447">
        <f t="shared" si="1"/>
        <v>2481.023941</v>
      </c>
    </row>
    <row r="448">
      <c r="A448">
        <f t="shared" si="1"/>
        <v>16.55055515</v>
      </c>
    </row>
    <row r="449">
      <c r="A449">
        <f t="shared" si="1"/>
        <v>1216.684121</v>
      </c>
    </row>
    <row r="450">
      <c r="A450">
        <f t="shared" si="1"/>
        <v>97.5697336</v>
      </c>
    </row>
    <row r="451">
      <c r="A451">
        <f t="shared" si="1"/>
        <v>2481.023941</v>
      </c>
    </row>
    <row r="452">
      <c r="A452">
        <f t="shared" si="1"/>
        <v>16.55055515</v>
      </c>
    </row>
    <row r="453">
      <c r="A453">
        <f t="shared" si="1"/>
        <v>1216.684121</v>
      </c>
    </row>
    <row r="454">
      <c r="A454">
        <f t="shared" si="1"/>
        <v>97.5697336</v>
      </c>
    </row>
    <row r="455">
      <c r="A455">
        <f t="shared" si="1"/>
        <v>2481.023941</v>
      </c>
    </row>
    <row r="456">
      <c r="A456">
        <f t="shared" si="1"/>
        <v>16.55055515</v>
      </c>
    </row>
    <row r="457">
      <c r="A457">
        <f t="shared" si="1"/>
        <v>1216.684121</v>
      </c>
    </row>
    <row r="458">
      <c r="A458">
        <f t="shared" si="1"/>
        <v>97.5697336</v>
      </c>
    </row>
    <row r="459">
      <c r="A459">
        <f t="shared" si="1"/>
        <v>2481.023941</v>
      </c>
    </row>
    <row r="460">
      <c r="A460">
        <f t="shared" si="1"/>
        <v>16.55055515</v>
      </c>
    </row>
    <row r="461">
      <c r="A461">
        <f t="shared" si="1"/>
        <v>1216.684121</v>
      </c>
    </row>
    <row r="462">
      <c r="A462">
        <f t="shared" si="1"/>
        <v>97.5697336</v>
      </c>
    </row>
    <row r="463">
      <c r="A463">
        <f t="shared" si="1"/>
        <v>2481.023941</v>
      </c>
    </row>
    <row r="464">
      <c r="A464">
        <f t="shared" si="1"/>
        <v>16.55055515</v>
      </c>
    </row>
    <row r="465">
      <c r="A465">
        <f t="shared" si="1"/>
        <v>1216.684121</v>
      </c>
    </row>
    <row r="466">
      <c r="A466">
        <f t="shared" si="1"/>
        <v>97.5697336</v>
      </c>
    </row>
    <row r="467">
      <c r="A467">
        <f t="shared" si="1"/>
        <v>2481.023941</v>
      </c>
    </row>
    <row r="468">
      <c r="A468">
        <f t="shared" si="1"/>
        <v>16.55055515</v>
      </c>
    </row>
    <row r="469">
      <c r="A469">
        <f t="shared" si="1"/>
        <v>1216.684121</v>
      </c>
    </row>
    <row r="470">
      <c r="A470">
        <f t="shared" si="1"/>
        <v>97.5697336</v>
      </c>
    </row>
    <row r="471">
      <c r="A471">
        <f t="shared" si="1"/>
        <v>2481.023941</v>
      </c>
    </row>
    <row r="472">
      <c r="A472">
        <f t="shared" si="1"/>
        <v>16.55055515</v>
      </c>
    </row>
    <row r="473">
      <c r="A473">
        <f t="shared" si="1"/>
        <v>1216.684121</v>
      </c>
    </row>
    <row r="474">
      <c r="A474">
        <f t="shared" si="1"/>
        <v>97.5697336</v>
      </c>
    </row>
    <row r="475">
      <c r="A475">
        <f t="shared" si="1"/>
        <v>2481.023941</v>
      </c>
    </row>
    <row r="476">
      <c r="A476">
        <f t="shared" si="1"/>
        <v>16.55055515</v>
      </c>
    </row>
    <row r="477">
      <c r="A477">
        <f t="shared" si="1"/>
        <v>1216.684121</v>
      </c>
    </row>
    <row r="478">
      <c r="A478">
        <f t="shared" si="1"/>
        <v>97.5697336</v>
      </c>
    </row>
    <row r="479">
      <c r="A479">
        <f t="shared" si="1"/>
        <v>2481.023941</v>
      </c>
    </row>
    <row r="480">
      <c r="A480">
        <f t="shared" si="1"/>
        <v>16.55055515</v>
      </c>
    </row>
    <row r="481">
      <c r="A481">
        <f t="shared" si="1"/>
        <v>1216.684121</v>
      </c>
    </row>
    <row r="482">
      <c r="A482">
        <f t="shared" si="1"/>
        <v>97.5697336</v>
      </c>
    </row>
    <row r="483">
      <c r="A483">
        <f t="shared" si="1"/>
        <v>2481.023941</v>
      </c>
    </row>
    <row r="484">
      <c r="A484">
        <f t="shared" si="1"/>
        <v>16.55055515</v>
      </c>
    </row>
    <row r="485">
      <c r="A485">
        <f t="shared" si="1"/>
        <v>1216.684121</v>
      </c>
    </row>
    <row r="486">
      <c r="A486">
        <f t="shared" si="1"/>
        <v>97.5697336</v>
      </c>
    </row>
    <row r="487">
      <c r="A487">
        <f t="shared" si="1"/>
        <v>2481.023941</v>
      </c>
    </row>
    <row r="488">
      <c r="A488">
        <f t="shared" si="1"/>
        <v>16.55055515</v>
      </c>
    </row>
    <row r="489">
      <c r="A489">
        <f t="shared" si="1"/>
        <v>1216.684121</v>
      </c>
    </row>
    <row r="490">
      <c r="A490">
        <f t="shared" si="1"/>
        <v>97.5697336</v>
      </c>
    </row>
    <row r="491">
      <c r="A491">
        <f t="shared" si="1"/>
        <v>2481.023941</v>
      </c>
    </row>
    <row r="492">
      <c r="A492">
        <f t="shared" si="1"/>
        <v>16.55055515</v>
      </c>
    </row>
    <row r="493">
      <c r="A493">
        <f t="shared" si="1"/>
        <v>1216.684121</v>
      </c>
    </row>
    <row r="494">
      <c r="A494">
        <f t="shared" si="1"/>
        <v>97.5697336</v>
      </c>
    </row>
    <row r="495">
      <c r="A495">
        <f t="shared" si="1"/>
        <v>2481.023941</v>
      </c>
    </row>
    <row r="496">
      <c r="A496">
        <f t="shared" si="1"/>
        <v>16.55055515</v>
      </c>
    </row>
    <row r="497">
      <c r="A497">
        <f t="shared" si="1"/>
        <v>1216.684121</v>
      </c>
    </row>
    <row r="498">
      <c r="A498">
        <f t="shared" si="1"/>
        <v>97.5697336</v>
      </c>
    </row>
    <row r="499">
      <c r="A499">
        <f t="shared" si="1"/>
        <v>2481.023941</v>
      </c>
    </row>
    <row r="500">
      <c r="A500">
        <f t="shared" si="1"/>
        <v>16.55055515</v>
      </c>
    </row>
    <row r="501">
      <c r="A501">
        <f t="shared" si="1"/>
        <v>1216.684121</v>
      </c>
    </row>
    <row r="502">
      <c r="A502">
        <f t="shared" si="1"/>
        <v>97.5697336</v>
      </c>
    </row>
    <row r="503">
      <c r="A503">
        <f t="shared" si="1"/>
        <v>2481.023941</v>
      </c>
    </row>
    <row r="504">
      <c r="A504">
        <f t="shared" si="1"/>
        <v>16.55055515</v>
      </c>
    </row>
    <row r="505">
      <c r="A505">
        <f t="shared" si="1"/>
        <v>1216.684121</v>
      </c>
    </row>
    <row r="506">
      <c r="A506">
        <f t="shared" si="1"/>
        <v>97.5697336</v>
      </c>
    </row>
    <row r="507">
      <c r="A507">
        <f t="shared" si="1"/>
        <v>2481.023941</v>
      </c>
    </row>
    <row r="508">
      <c r="A508">
        <f t="shared" si="1"/>
        <v>16.55055515</v>
      </c>
    </row>
    <row r="509">
      <c r="A509">
        <f t="shared" si="1"/>
        <v>1216.684121</v>
      </c>
    </row>
    <row r="510">
      <c r="A510">
        <f t="shared" si="1"/>
        <v>97.5697336</v>
      </c>
    </row>
    <row r="511">
      <c r="A511">
        <f t="shared" si="1"/>
        <v>2481.023941</v>
      </c>
    </row>
    <row r="512">
      <c r="A512">
        <f t="shared" si="1"/>
        <v>16.55055515</v>
      </c>
    </row>
    <row r="513">
      <c r="A513">
        <f t="shared" si="1"/>
        <v>1216.684121</v>
      </c>
    </row>
    <row r="514">
      <c r="A514">
        <f t="shared" si="1"/>
        <v>97.5697336</v>
      </c>
    </row>
    <row r="515">
      <c r="A515">
        <f t="shared" si="1"/>
        <v>2481.023941</v>
      </c>
    </row>
    <row r="516">
      <c r="A516">
        <f t="shared" si="1"/>
        <v>16.55055515</v>
      </c>
    </row>
    <row r="517">
      <c r="A517">
        <f t="shared" si="1"/>
        <v>1216.684121</v>
      </c>
    </row>
    <row r="518">
      <c r="A518">
        <f t="shared" si="1"/>
        <v>97.5697336</v>
      </c>
    </row>
    <row r="519">
      <c r="A519">
        <f t="shared" si="1"/>
        <v>2481.023941</v>
      </c>
    </row>
    <row r="520">
      <c r="A520">
        <f t="shared" si="1"/>
        <v>16.55055515</v>
      </c>
    </row>
    <row r="521">
      <c r="A521">
        <f t="shared" si="1"/>
        <v>1216.684121</v>
      </c>
    </row>
    <row r="522">
      <c r="A522">
        <f t="shared" si="1"/>
        <v>97.5697336</v>
      </c>
    </row>
    <row r="523">
      <c r="A523">
        <f t="shared" si="1"/>
        <v>2481.023941</v>
      </c>
    </row>
    <row r="524">
      <c r="A524">
        <f t="shared" si="1"/>
        <v>16.55055515</v>
      </c>
    </row>
    <row r="525">
      <c r="A525">
        <f t="shared" si="1"/>
        <v>1216.684121</v>
      </c>
    </row>
    <row r="526">
      <c r="A526">
        <f t="shared" si="1"/>
        <v>97.5697336</v>
      </c>
    </row>
    <row r="527">
      <c r="A527">
        <f t="shared" si="1"/>
        <v>2481.023941</v>
      </c>
    </row>
    <row r="528">
      <c r="A528">
        <f t="shared" si="1"/>
        <v>16.55055515</v>
      </c>
    </row>
    <row r="529">
      <c r="A529">
        <f t="shared" si="1"/>
        <v>1216.684121</v>
      </c>
    </row>
    <row r="530">
      <c r="A530">
        <f t="shared" si="1"/>
        <v>97.5697336</v>
      </c>
    </row>
    <row r="531">
      <c r="A531">
        <f t="shared" si="1"/>
        <v>2481.023941</v>
      </c>
    </row>
    <row r="532">
      <c r="A532">
        <f t="shared" si="1"/>
        <v>16.55055515</v>
      </c>
    </row>
    <row r="533">
      <c r="A533">
        <f t="shared" si="1"/>
        <v>1216.684121</v>
      </c>
    </row>
    <row r="534">
      <c r="A534">
        <f t="shared" si="1"/>
        <v>97.5697336</v>
      </c>
    </row>
    <row r="535">
      <c r="A535">
        <f t="shared" si="1"/>
        <v>2481.023941</v>
      </c>
    </row>
    <row r="536">
      <c r="A536">
        <f t="shared" si="1"/>
        <v>16.55055515</v>
      </c>
    </row>
    <row r="537">
      <c r="A537">
        <f t="shared" si="1"/>
        <v>1216.684121</v>
      </c>
    </row>
    <row r="538">
      <c r="A538">
        <f t="shared" si="1"/>
        <v>97.5697336</v>
      </c>
    </row>
    <row r="539">
      <c r="A539">
        <f t="shared" si="1"/>
        <v>2481.023941</v>
      </c>
    </row>
    <row r="540">
      <c r="A540">
        <f t="shared" si="1"/>
        <v>16.55055515</v>
      </c>
    </row>
    <row r="541">
      <c r="A541">
        <f t="shared" si="1"/>
        <v>1216.684121</v>
      </c>
    </row>
    <row r="542">
      <c r="A542">
        <f t="shared" si="1"/>
        <v>97.5697336</v>
      </c>
    </row>
    <row r="543">
      <c r="A543">
        <f t="shared" si="1"/>
        <v>2481.023941</v>
      </c>
    </row>
    <row r="544">
      <c r="A544">
        <f t="shared" si="1"/>
        <v>16.55055515</v>
      </c>
    </row>
    <row r="545">
      <c r="A545">
        <f t="shared" si="1"/>
        <v>1216.684121</v>
      </c>
    </row>
    <row r="546">
      <c r="A546">
        <f t="shared" si="1"/>
        <v>97.5697336</v>
      </c>
    </row>
    <row r="547">
      <c r="A547">
        <f t="shared" si="1"/>
        <v>2481.023941</v>
      </c>
    </row>
    <row r="548">
      <c r="A548">
        <f t="shared" si="1"/>
        <v>16.55055515</v>
      </c>
    </row>
    <row r="549">
      <c r="A549">
        <f t="shared" si="1"/>
        <v>1216.684121</v>
      </c>
    </row>
    <row r="550">
      <c r="A550">
        <f t="shared" si="1"/>
        <v>97.5697336</v>
      </c>
    </row>
    <row r="551">
      <c r="A551">
        <f t="shared" si="1"/>
        <v>2481.023941</v>
      </c>
    </row>
    <row r="552">
      <c r="A552">
        <f t="shared" si="1"/>
        <v>16.55055515</v>
      </c>
    </row>
    <row r="553">
      <c r="A553">
        <f t="shared" si="1"/>
        <v>1216.684121</v>
      </c>
    </row>
    <row r="554">
      <c r="A554">
        <f t="shared" si="1"/>
        <v>97.5697336</v>
      </c>
    </row>
    <row r="555">
      <c r="A555">
        <f t="shared" si="1"/>
        <v>2481.023941</v>
      </c>
    </row>
    <row r="556">
      <c r="A556">
        <f t="shared" si="1"/>
        <v>16.55055515</v>
      </c>
    </row>
    <row r="557">
      <c r="A557">
        <f t="shared" si="1"/>
        <v>1216.684121</v>
      </c>
    </row>
    <row r="558">
      <c r="A558">
        <f t="shared" si="1"/>
        <v>97.5697336</v>
      </c>
    </row>
    <row r="559">
      <c r="A559">
        <f t="shared" si="1"/>
        <v>2481.023941</v>
      </c>
    </row>
    <row r="560">
      <c r="A560">
        <f t="shared" si="1"/>
        <v>16.55055515</v>
      </c>
    </row>
    <row r="561">
      <c r="A561">
        <f t="shared" si="1"/>
        <v>1216.684121</v>
      </c>
    </row>
    <row r="562">
      <c r="A562">
        <f t="shared" si="1"/>
        <v>97.5697336</v>
      </c>
    </row>
    <row r="563">
      <c r="A563">
        <f t="shared" si="1"/>
        <v>2481.023941</v>
      </c>
    </row>
    <row r="564">
      <c r="A564">
        <f t="shared" si="1"/>
        <v>16.55055515</v>
      </c>
    </row>
    <row r="565">
      <c r="A565">
        <f t="shared" si="1"/>
        <v>1216.684121</v>
      </c>
    </row>
    <row r="566">
      <c r="A566">
        <f t="shared" si="1"/>
        <v>97.5697336</v>
      </c>
    </row>
    <row r="567">
      <c r="A567">
        <f t="shared" si="1"/>
        <v>2481.023941</v>
      </c>
    </row>
    <row r="568">
      <c r="A568">
        <f t="shared" si="1"/>
        <v>16.55055515</v>
      </c>
    </row>
    <row r="569">
      <c r="A569">
        <f t="shared" si="1"/>
        <v>1216.684121</v>
      </c>
    </row>
    <row r="570">
      <c r="A570">
        <f t="shared" si="1"/>
        <v>97.5697336</v>
      </c>
    </row>
    <row r="571">
      <c r="A571">
        <f t="shared" si="1"/>
        <v>2481.023941</v>
      </c>
    </row>
    <row r="572">
      <c r="A572">
        <f t="shared" si="1"/>
        <v>16.55055515</v>
      </c>
    </row>
    <row r="573">
      <c r="A573">
        <f t="shared" si="1"/>
        <v>1216.684121</v>
      </c>
    </row>
    <row r="574">
      <c r="A574">
        <f t="shared" si="1"/>
        <v>97.5697336</v>
      </c>
    </row>
    <row r="575">
      <c r="A575">
        <f t="shared" si="1"/>
        <v>2481.023941</v>
      </c>
    </row>
    <row r="576">
      <c r="A576">
        <f t="shared" si="1"/>
        <v>16.55055515</v>
      </c>
    </row>
    <row r="577">
      <c r="A577">
        <f t="shared" si="1"/>
        <v>1216.684121</v>
      </c>
    </row>
    <row r="578">
      <c r="A578">
        <f t="shared" si="1"/>
        <v>97.5697336</v>
      </c>
    </row>
    <row r="579">
      <c r="A579">
        <f t="shared" si="1"/>
        <v>2481.023941</v>
      </c>
    </row>
    <row r="580">
      <c r="A580">
        <f t="shared" si="1"/>
        <v>16.55055515</v>
      </c>
    </row>
    <row r="581">
      <c r="A581">
        <f t="shared" si="1"/>
        <v>1216.684121</v>
      </c>
    </row>
    <row r="582">
      <c r="A582">
        <f t="shared" si="1"/>
        <v>97.5697336</v>
      </c>
    </row>
    <row r="583">
      <c r="A583">
        <f t="shared" si="1"/>
        <v>2481.023941</v>
      </c>
    </row>
    <row r="584">
      <c r="A584">
        <f t="shared" si="1"/>
        <v>16.55055515</v>
      </c>
    </row>
    <row r="585">
      <c r="A585">
        <f t="shared" si="1"/>
        <v>1216.684121</v>
      </c>
    </row>
    <row r="586">
      <c r="A586">
        <f t="shared" si="1"/>
        <v>97.5697336</v>
      </c>
    </row>
    <row r="587">
      <c r="A587">
        <f t="shared" si="1"/>
        <v>2481.023941</v>
      </c>
    </row>
    <row r="588">
      <c r="A588">
        <f t="shared" si="1"/>
        <v>16.55055515</v>
      </c>
    </row>
    <row r="589">
      <c r="A589">
        <f t="shared" si="1"/>
        <v>1216.684121</v>
      </c>
    </row>
    <row r="590">
      <c r="A590">
        <f t="shared" si="1"/>
        <v>97.5697336</v>
      </c>
    </row>
    <row r="591">
      <c r="A591">
        <f t="shared" si="1"/>
        <v>2481.023941</v>
      </c>
    </row>
    <row r="592">
      <c r="A592">
        <f t="shared" si="1"/>
        <v>16.55055515</v>
      </c>
    </row>
    <row r="593">
      <c r="A593">
        <f t="shared" si="1"/>
        <v>1216.684121</v>
      </c>
    </row>
    <row r="594">
      <c r="A594">
        <f t="shared" si="1"/>
        <v>97.5697336</v>
      </c>
    </row>
    <row r="595">
      <c r="A595">
        <f t="shared" si="1"/>
        <v>2481.023941</v>
      </c>
    </row>
    <row r="596">
      <c r="A596">
        <f t="shared" si="1"/>
        <v>16.55055515</v>
      </c>
    </row>
    <row r="597">
      <c r="A597">
        <f t="shared" si="1"/>
        <v>1216.684121</v>
      </c>
    </row>
    <row r="598">
      <c r="A598">
        <f t="shared" si="1"/>
        <v>97.5697336</v>
      </c>
    </row>
    <row r="599">
      <c r="A599">
        <f t="shared" si="1"/>
        <v>2481.023941</v>
      </c>
    </row>
    <row r="600">
      <c r="A600">
        <f t="shared" si="1"/>
        <v>16.55055515</v>
      </c>
    </row>
    <row r="601">
      <c r="A601">
        <f t="shared" si="1"/>
        <v>1216.684121</v>
      </c>
    </row>
    <row r="602">
      <c r="A602">
        <f t="shared" si="1"/>
        <v>97.5697336</v>
      </c>
    </row>
    <row r="603">
      <c r="A603">
        <f t="shared" si="1"/>
        <v>2481.023941</v>
      </c>
    </row>
    <row r="604">
      <c r="A604">
        <f t="shared" si="1"/>
        <v>16.55055515</v>
      </c>
    </row>
    <row r="605">
      <c r="A605">
        <f t="shared" si="1"/>
        <v>1216.684121</v>
      </c>
    </row>
    <row r="606">
      <c r="A606">
        <f t="shared" si="1"/>
        <v>97.5697336</v>
      </c>
    </row>
    <row r="607">
      <c r="A607">
        <f t="shared" si="1"/>
        <v>2481.023941</v>
      </c>
    </row>
    <row r="608">
      <c r="A608">
        <f t="shared" si="1"/>
        <v>16.55055515</v>
      </c>
    </row>
    <row r="609">
      <c r="A609">
        <f t="shared" si="1"/>
        <v>1216.684121</v>
      </c>
    </row>
    <row r="610">
      <c r="A610">
        <f t="shared" si="1"/>
        <v>97.5697336</v>
      </c>
    </row>
    <row r="611">
      <c r="A611">
        <f t="shared" si="1"/>
        <v>2481.023941</v>
      </c>
    </row>
    <row r="612">
      <c r="A612">
        <f t="shared" si="1"/>
        <v>16.55055515</v>
      </c>
    </row>
    <row r="613">
      <c r="A613">
        <f t="shared" si="1"/>
        <v>1216.684121</v>
      </c>
    </row>
    <row r="614">
      <c r="A614">
        <f t="shared" si="1"/>
        <v>97.5697336</v>
      </c>
    </row>
    <row r="615">
      <c r="A615">
        <f t="shared" si="1"/>
        <v>2481.023941</v>
      </c>
    </row>
    <row r="616">
      <c r="A616">
        <f t="shared" si="1"/>
        <v>16.55055515</v>
      </c>
    </row>
    <row r="617">
      <c r="A617">
        <f t="shared" si="1"/>
        <v>1216.684121</v>
      </c>
    </row>
    <row r="618">
      <c r="A618">
        <f t="shared" si="1"/>
        <v>97.5697336</v>
      </c>
    </row>
    <row r="619">
      <c r="A619">
        <f t="shared" si="1"/>
        <v>2481.023941</v>
      </c>
    </row>
    <row r="620">
      <c r="A620">
        <f t="shared" si="1"/>
        <v>16.55055515</v>
      </c>
    </row>
    <row r="621">
      <c r="A621">
        <f t="shared" si="1"/>
        <v>1216.684121</v>
      </c>
    </row>
    <row r="622">
      <c r="A622">
        <f t="shared" si="1"/>
        <v>97.5697336</v>
      </c>
    </row>
    <row r="623">
      <c r="A623">
        <f t="shared" si="1"/>
        <v>2481.023941</v>
      </c>
    </row>
    <row r="624">
      <c r="A624">
        <f t="shared" si="1"/>
        <v>16.55055515</v>
      </c>
    </row>
    <row r="625">
      <c r="A625">
        <f t="shared" si="1"/>
        <v>1216.684121</v>
      </c>
    </row>
    <row r="626">
      <c r="A626">
        <f t="shared" si="1"/>
        <v>97.5697336</v>
      </c>
    </row>
    <row r="627">
      <c r="A627">
        <f t="shared" si="1"/>
        <v>2481.023941</v>
      </c>
    </row>
    <row r="628">
      <c r="A628">
        <f t="shared" si="1"/>
        <v>16.55055515</v>
      </c>
    </row>
    <row r="629">
      <c r="A629">
        <f t="shared" si="1"/>
        <v>1216.684121</v>
      </c>
    </row>
    <row r="630">
      <c r="A630">
        <f t="shared" si="1"/>
        <v>97.5697336</v>
      </c>
    </row>
    <row r="631">
      <c r="A631">
        <f t="shared" si="1"/>
        <v>2481.023941</v>
      </c>
    </row>
    <row r="632">
      <c r="A632">
        <f t="shared" si="1"/>
        <v>16.55055515</v>
      </c>
    </row>
    <row r="633">
      <c r="A633">
        <f t="shared" si="1"/>
        <v>1216.684121</v>
      </c>
    </row>
    <row r="634">
      <c r="A634">
        <f t="shared" si="1"/>
        <v>97.5697336</v>
      </c>
    </row>
    <row r="635">
      <c r="A635">
        <f t="shared" si="1"/>
        <v>2481.023941</v>
      </c>
    </row>
    <row r="636">
      <c r="A636">
        <f t="shared" si="1"/>
        <v>16.55055515</v>
      </c>
    </row>
    <row r="637">
      <c r="A637">
        <f t="shared" si="1"/>
        <v>1216.684121</v>
      </c>
    </row>
    <row r="638">
      <c r="A638">
        <f t="shared" si="1"/>
        <v>97.5697336</v>
      </c>
    </row>
    <row r="639">
      <c r="A639">
        <f t="shared" si="1"/>
        <v>2481.023941</v>
      </c>
    </row>
    <row r="640">
      <c r="A640">
        <f t="shared" si="1"/>
        <v>16.55055515</v>
      </c>
    </row>
    <row r="641">
      <c r="A641">
        <f t="shared" si="1"/>
        <v>1216.684121</v>
      </c>
    </row>
    <row r="642">
      <c r="A642">
        <f t="shared" si="1"/>
        <v>97.5697336</v>
      </c>
    </row>
    <row r="643">
      <c r="A643">
        <f t="shared" si="1"/>
        <v>2481.023941</v>
      </c>
    </row>
    <row r="644">
      <c r="A644">
        <f t="shared" si="1"/>
        <v>16.55055515</v>
      </c>
    </row>
    <row r="645">
      <c r="A645">
        <f t="shared" si="1"/>
        <v>1216.684121</v>
      </c>
    </row>
    <row r="646">
      <c r="A646">
        <f t="shared" si="1"/>
        <v>97.5697336</v>
      </c>
    </row>
    <row r="647">
      <c r="A647">
        <f t="shared" si="1"/>
        <v>2481.023941</v>
      </c>
    </row>
    <row r="648">
      <c r="A648">
        <f t="shared" si="1"/>
        <v>16.55055515</v>
      </c>
    </row>
    <row r="649">
      <c r="A649">
        <f t="shared" si="1"/>
        <v>1216.684121</v>
      </c>
    </row>
    <row r="650">
      <c r="A650">
        <f t="shared" si="1"/>
        <v>97.5697336</v>
      </c>
    </row>
    <row r="651">
      <c r="A651">
        <f t="shared" si="1"/>
        <v>2481.023941</v>
      </c>
    </row>
    <row r="652">
      <c r="A652">
        <f t="shared" si="1"/>
        <v>16.55055515</v>
      </c>
    </row>
    <row r="653">
      <c r="A653">
        <f t="shared" si="1"/>
        <v>1216.684121</v>
      </c>
    </row>
    <row r="654">
      <c r="A654">
        <f t="shared" si="1"/>
        <v>97.5697336</v>
      </c>
    </row>
    <row r="655">
      <c r="A655">
        <f t="shared" si="1"/>
        <v>2481.023941</v>
      </c>
    </row>
    <row r="656">
      <c r="A656">
        <f t="shared" si="1"/>
        <v>16.55055515</v>
      </c>
    </row>
    <row r="657">
      <c r="A657">
        <f t="shared" si="1"/>
        <v>1216.684121</v>
      </c>
    </row>
    <row r="658">
      <c r="A658">
        <f t="shared" si="1"/>
        <v>97.5697336</v>
      </c>
    </row>
    <row r="659">
      <c r="A659">
        <f t="shared" si="1"/>
        <v>2481.023941</v>
      </c>
    </row>
    <row r="660">
      <c r="A660">
        <f t="shared" si="1"/>
        <v>16.55055515</v>
      </c>
    </row>
    <row r="661">
      <c r="A661">
        <f t="shared" si="1"/>
        <v>1216.684121</v>
      </c>
    </row>
    <row r="662">
      <c r="A662">
        <f t="shared" si="1"/>
        <v>97.5697336</v>
      </c>
    </row>
    <row r="663">
      <c r="A663">
        <f t="shared" si="1"/>
        <v>2481.023941</v>
      </c>
    </row>
    <row r="664">
      <c r="A664">
        <f t="shared" si="1"/>
        <v>16.55055515</v>
      </c>
    </row>
    <row r="665">
      <c r="A665">
        <f t="shared" si="1"/>
        <v>1216.684121</v>
      </c>
    </row>
    <row r="666">
      <c r="A666">
        <f t="shared" si="1"/>
        <v>97.5697336</v>
      </c>
    </row>
    <row r="667">
      <c r="A667">
        <f t="shared" si="1"/>
        <v>2481.023941</v>
      </c>
    </row>
    <row r="668">
      <c r="A668">
        <f t="shared" si="1"/>
        <v>16.55055515</v>
      </c>
    </row>
    <row r="669">
      <c r="A669">
        <f t="shared" si="1"/>
        <v>1216.684121</v>
      </c>
    </row>
    <row r="670">
      <c r="A670">
        <f t="shared" si="1"/>
        <v>97.5697336</v>
      </c>
    </row>
    <row r="671">
      <c r="A671">
        <f t="shared" si="1"/>
        <v>2481.023941</v>
      </c>
    </row>
    <row r="672">
      <c r="A672">
        <f t="shared" si="1"/>
        <v>16.55055515</v>
      </c>
    </row>
    <row r="673">
      <c r="A673">
        <f t="shared" si="1"/>
        <v>1216.684121</v>
      </c>
    </row>
    <row r="674">
      <c r="A674">
        <f t="shared" si="1"/>
        <v>97.5697336</v>
      </c>
    </row>
    <row r="675">
      <c r="A675">
        <f t="shared" si="1"/>
        <v>2481.023941</v>
      </c>
    </row>
    <row r="676">
      <c r="A676">
        <f t="shared" si="1"/>
        <v>16.55055515</v>
      </c>
    </row>
    <row r="677">
      <c r="A677">
        <f t="shared" si="1"/>
        <v>1216.684121</v>
      </c>
    </row>
    <row r="678">
      <c r="A678">
        <f t="shared" si="1"/>
        <v>97.5697336</v>
      </c>
    </row>
    <row r="679">
      <c r="A679">
        <f t="shared" si="1"/>
        <v>2481.023941</v>
      </c>
    </row>
    <row r="680">
      <c r="A680">
        <f t="shared" si="1"/>
        <v>16.55055515</v>
      </c>
    </row>
    <row r="681">
      <c r="A681">
        <f t="shared" si="1"/>
        <v>1216.684121</v>
      </c>
    </row>
    <row r="682">
      <c r="A682">
        <f t="shared" si="1"/>
        <v>97.5697336</v>
      </c>
    </row>
    <row r="683">
      <c r="A683">
        <f t="shared" si="1"/>
        <v>2481.023941</v>
      </c>
    </row>
    <row r="684">
      <c r="A684">
        <f t="shared" si="1"/>
        <v>16.55055515</v>
      </c>
    </row>
    <row r="685">
      <c r="A685">
        <f t="shared" si="1"/>
        <v>1216.684121</v>
      </c>
    </row>
    <row r="686">
      <c r="A686">
        <f t="shared" si="1"/>
        <v>97.5697336</v>
      </c>
    </row>
    <row r="687">
      <c r="A687">
        <f t="shared" si="1"/>
        <v>2481.023941</v>
      </c>
    </row>
    <row r="688">
      <c r="A688">
        <f t="shared" si="1"/>
        <v>16.55055515</v>
      </c>
    </row>
    <row r="689">
      <c r="A689">
        <f t="shared" si="1"/>
        <v>1216.684121</v>
      </c>
    </row>
    <row r="690">
      <c r="A690">
        <f t="shared" si="1"/>
        <v>97.5697336</v>
      </c>
    </row>
    <row r="691">
      <c r="A691">
        <f t="shared" si="1"/>
        <v>2481.023941</v>
      </c>
    </row>
    <row r="692">
      <c r="A692">
        <f t="shared" si="1"/>
        <v>16.55055515</v>
      </c>
    </row>
    <row r="693">
      <c r="A693">
        <f t="shared" si="1"/>
        <v>1216.684121</v>
      </c>
    </row>
    <row r="694">
      <c r="A694">
        <f t="shared" si="1"/>
        <v>97.5697336</v>
      </c>
    </row>
    <row r="695">
      <c r="A695">
        <f t="shared" si="1"/>
        <v>2481.023941</v>
      </c>
    </row>
    <row r="696">
      <c r="A696">
        <f t="shared" si="1"/>
        <v>16.55055515</v>
      </c>
    </row>
    <row r="697">
      <c r="A697">
        <f t="shared" si="1"/>
        <v>1216.684121</v>
      </c>
    </row>
    <row r="698">
      <c r="A698">
        <f t="shared" si="1"/>
        <v>97.5697336</v>
      </c>
    </row>
    <row r="699">
      <c r="A699">
        <f t="shared" si="1"/>
        <v>2481.023941</v>
      </c>
    </row>
    <row r="700">
      <c r="A700">
        <f t="shared" si="1"/>
        <v>16.55055515</v>
      </c>
    </row>
    <row r="701">
      <c r="A701">
        <f t="shared" si="1"/>
        <v>1216.684121</v>
      </c>
    </row>
    <row r="702">
      <c r="A702">
        <f t="shared" si="1"/>
        <v>97.5697336</v>
      </c>
    </row>
    <row r="703">
      <c r="A703">
        <f t="shared" si="1"/>
        <v>2481.023941</v>
      </c>
    </row>
    <row r="704">
      <c r="A704">
        <f t="shared" si="1"/>
        <v>16.55055515</v>
      </c>
    </row>
    <row r="705">
      <c r="A705">
        <f t="shared" si="1"/>
        <v>1216.684121</v>
      </c>
    </row>
    <row r="706">
      <c r="A706">
        <f t="shared" si="1"/>
        <v>97.5697336</v>
      </c>
    </row>
    <row r="707">
      <c r="A707">
        <f t="shared" si="1"/>
        <v>2481.023941</v>
      </c>
    </row>
    <row r="708">
      <c r="A708">
        <f t="shared" si="1"/>
        <v>16.55055515</v>
      </c>
    </row>
    <row r="709">
      <c r="A709">
        <f t="shared" si="1"/>
        <v>1216.684121</v>
      </c>
    </row>
    <row r="710">
      <c r="A710">
        <f t="shared" si="1"/>
        <v>97.5697336</v>
      </c>
    </row>
    <row r="711">
      <c r="A711">
        <f t="shared" si="1"/>
        <v>2481.023941</v>
      </c>
    </row>
    <row r="712">
      <c r="A712">
        <f t="shared" si="1"/>
        <v>16.55055515</v>
      </c>
    </row>
    <row r="713">
      <c r="A713">
        <f t="shared" si="1"/>
        <v>1216.684121</v>
      </c>
    </row>
    <row r="714">
      <c r="A714">
        <f t="shared" si="1"/>
        <v>97.5697336</v>
      </c>
    </row>
    <row r="715">
      <c r="A715">
        <f t="shared" si="1"/>
        <v>2481.023941</v>
      </c>
    </row>
    <row r="716">
      <c r="A716">
        <f t="shared" si="1"/>
        <v>16.55055515</v>
      </c>
    </row>
    <row r="717">
      <c r="A717">
        <f t="shared" si="1"/>
        <v>1216.684121</v>
      </c>
    </row>
    <row r="718">
      <c r="A718">
        <f t="shared" si="1"/>
        <v>97.5697336</v>
      </c>
    </row>
    <row r="719">
      <c r="A719">
        <f t="shared" si="1"/>
        <v>2481.023941</v>
      </c>
    </row>
    <row r="720">
      <c r="A720">
        <f t="shared" si="1"/>
        <v>16.55055515</v>
      </c>
    </row>
    <row r="721">
      <c r="A721">
        <f t="shared" si="1"/>
        <v>1216.684121</v>
      </c>
    </row>
    <row r="722">
      <c r="A722">
        <f t="shared" si="1"/>
        <v>97.5697336</v>
      </c>
    </row>
    <row r="723">
      <c r="A723">
        <f t="shared" si="1"/>
        <v>2481.023941</v>
      </c>
    </row>
    <row r="724">
      <c r="A724">
        <f t="shared" si="1"/>
        <v>16.55055515</v>
      </c>
    </row>
    <row r="725">
      <c r="A725">
        <f t="shared" si="1"/>
        <v>1216.684121</v>
      </c>
    </row>
    <row r="726">
      <c r="A726">
        <f t="shared" si="1"/>
        <v>97.5697336</v>
      </c>
    </row>
    <row r="727">
      <c r="A727">
        <f t="shared" si="1"/>
        <v>2481.023941</v>
      </c>
    </row>
    <row r="728">
      <c r="A728">
        <f t="shared" si="1"/>
        <v>16.55055515</v>
      </c>
    </row>
    <row r="729">
      <c r="A729">
        <f t="shared" si="1"/>
        <v>1216.684121</v>
      </c>
    </row>
    <row r="730">
      <c r="A730">
        <f t="shared" si="1"/>
        <v>97.5697336</v>
      </c>
    </row>
    <row r="731">
      <c r="A731">
        <f t="shared" si="1"/>
        <v>2481.023941</v>
      </c>
    </row>
    <row r="732">
      <c r="A732">
        <f t="shared" si="1"/>
        <v>16.55055515</v>
      </c>
    </row>
    <row r="733">
      <c r="A733">
        <f t="shared" si="1"/>
        <v>1216.684121</v>
      </c>
    </row>
    <row r="734">
      <c r="A734">
        <f t="shared" si="1"/>
        <v>97.5697336</v>
      </c>
    </row>
    <row r="735">
      <c r="A735">
        <f t="shared" si="1"/>
        <v>2481.023941</v>
      </c>
    </row>
    <row r="736">
      <c r="A736">
        <f t="shared" si="1"/>
        <v>16.55055515</v>
      </c>
    </row>
    <row r="737">
      <c r="A737">
        <f t="shared" si="1"/>
        <v>1216.684121</v>
      </c>
    </row>
    <row r="738">
      <c r="A738">
        <f t="shared" si="1"/>
        <v>97.5697336</v>
      </c>
    </row>
    <row r="739">
      <c r="A739">
        <f t="shared" si="1"/>
        <v>2481.023941</v>
      </c>
    </row>
    <row r="740">
      <c r="A740">
        <f t="shared" si="1"/>
        <v>16.55055515</v>
      </c>
    </row>
    <row r="741">
      <c r="A741">
        <f t="shared" si="1"/>
        <v>1216.684121</v>
      </c>
    </row>
    <row r="742">
      <c r="A742">
        <f t="shared" si="1"/>
        <v>97.5697336</v>
      </c>
    </row>
    <row r="743">
      <c r="A743">
        <f t="shared" si="1"/>
        <v>2481.023941</v>
      </c>
    </row>
    <row r="744">
      <c r="A744">
        <f t="shared" si="1"/>
        <v>16.55055515</v>
      </c>
    </row>
    <row r="745">
      <c r="A745">
        <f t="shared" si="1"/>
        <v>1216.684121</v>
      </c>
    </row>
    <row r="746">
      <c r="A746">
        <f t="shared" si="1"/>
        <v>97.5697336</v>
      </c>
    </row>
    <row r="747">
      <c r="A747">
        <f t="shared" si="1"/>
        <v>2481.023941</v>
      </c>
    </row>
    <row r="748">
      <c r="A748">
        <f t="shared" si="1"/>
        <v>16.55055515</v>
      </c>
    </row>
    <row r="749">
      <c r="A749">
        <f t="shared" si="1"/>
        <v>1216.684121</v>
      </c>
    </row>
    <row r="750">
      <c r="A750">
        <f t="shared" si="1"/>
        <v>97.5697336</v>
      </c>
    </row>
    <row r="751">
      <c r="A751">
        <f t="shared" si="1"/>
        <v>2481.023941</v>
      </c>
    </row>
    <row r="752">
      <c r="A752">
        <f t="shared" si="1"/>
        <v>16.55055515</v>
      </c>
    </row>
    <row r="753">
      <c r="A753">
        <f t="shared" si="1"/>
        <v>1216.684121</v>
      </c>
    </row>
    <row r="754">
      <c r="A754">
        <f t="shared" si="1"/>
        <v>97.5697336</v>
      </c>
    </row>
    <row r="755">
      <c r="A755">
        <f t="shared" si="1"/>
        <v>2481.023941</v>
      </c>
    </row>
    <row r="756">
      <c r="A756">
        <f t="shared" si="1"/>
        <v>16.55055515</v>
      </c>
    </row>
    <row r="757">
      <c r="A757">
        <f t="shared" si="1"/>
        <v>1216.684121</v>
      </c>
    </row>
    <row r="758">
      <c r="A758">
        <f t="shared" si="1"/>
        <v>97.5697336</v>
      </c>
    </row>
    <row r="759">
      <c r="A759">
        <f t="shared" si="1"/>
        <v>2481.023941</v>
      </c>
    </row>
    <row r="760">
      <c r="A760">
        <f t="shared" si="1"/>
        <v>16.55055515</v>
      </c>
    </row>
    <row r="761">
      <c r="A761">
        <f t="shared" si="1"/>
        <v>1216.684121</v>
      </c>
    </row>
    <row r="762">
      <c r="A762">
        <f t="shared" si="1"/>
        <v>97.5697336</v>
      </c>
    </row>
    <row r="763">
      <c r="A763">
        <f t="shared" si="1"/>
        <v>2481.023941</v>
      </c>
    </row>
    <row r="764">
      <c r="A764">
        <f t="shared" si="1"/>
        <v>16.55055515</v>
      </c>
    </row>
    <row r="765">
      <c r="A765">
        <f t="shared" si="1"/>
        <v>1216.684121</v>
      </c>
    </row>
    <row r="766">
      <c r="A766">
        <f t="shared" si="1"/>
        <v>97.5697336</v>
      </c>
    </row>
    <row r="767">
      <c r="A767">
        <f t="shared" si="1"/>
        <v>2481.023941</v>
      </c>
    </row>
    <row r="768">
      <c r="A768">
        <f t="shared" si="1"/>
        <v>16.55055515</v>
      </c>
    </row>
    <row r="769">
      <c r="A769">
        <f t="shared" si="1"/>
        <v>1216.684121</v>
      </c>
    </row>
    <row r="770">
      <c r="A770">
        <f t="shared" si="1"/>
        <v>97.5697336</v>
      </c>
    </row>
    <row r="771">
      <c r="A771">
        <f t="shared" si="1"/>
        <v>2481.023941</v>
      </c>
    </row>
    <row r="772">
      <c r="A772">
        <f t="shared" si="1"/>
        <v>16.55055515</v>
      </c>
    </row>
    <row r="773">
      <c r="A773">
        <f t="shared" si="1"/>
        <v>1216.684121</v>
      </c>
    </row>
    <row r="774">
      <c r="A774">
        <f t="shared" si="1"/>
        <v>97.5697336</v>
      </c>
    </row>
    <row r="775">
      <c r="A775">
        <f t="shared" si="1"/>
        <v>2481.023941</v>
      </c>
    </row>
    <row r="776">
      <c r="A776">
        <f t="shared" si="1"/>
        <v>16.55055515</v>
      </c>
    </row>
    <row r="777">
      <c r="A777">
        <f t="shared" si="1"/>
        <v>1216.684121</v>
      </c>
    </row>
    <row r="778">
      <c r="A778">
        <f t="shared" si="1"/>
        <v>97.5697336</v>
      </c>
    </row>
    <row r="779">
      <c r="A779">
        <f t="shared" si="1"/>
        <v>2481.023941</v>
      </c>
    </row>
    <row r="780">
      <c r="A780">
        <f t="shared" si="1"/>
        <v>16.55055515</v>
      </c>
    </row>
    <row r="781">
      <c r="A781">
        <f t="shared" si="1"/>
        <v>1216.684121</v>
      </c>
    </row>
    <row r="782">
      <c r="A782">
        <f t="shared" si="1"/>
        <v>97.5697336</v>
      </c>
    </row>
    <row r="783">
      <c r="A783">
        <f t="shared" si="1"/>
        <v>2481.023941</v>
      </c>
    </row>
    <row r="784">
      <c r="A784">
        <f t="shared" si="1"/>
        <v>16.55055515</v>
      </c>
    </row>
    <row r="785">
      <c r="A785">
        <f t="shared" si="1"/>
        <v>1216.684121</v>
      </c>
    </row>
    <row r="786">
      <c r="A786">
        <f t="shared" si="1"/>
        <v>97.5697336</v>
      </c>
    </row>
    <row r="787">
      <c r="A787">
        <f t="shared" si="1"/>
        <v>2481.023941</v>
      </c>
    </row>
    <row r="788">
      <c r="A788">
        <f t="shared" si="1"/>
        <v>16.55055515</v>
      </c>
    </row>
    <row r="789">
      <c r="A789">
        <f t="shared" si="1"/>
        <v>1216.684121</v>
      </c>
    </row>
    <row r="790">
      <c r="A790">
        <f t="shared" si="1"/>
        <v>97.5697336</v>
      </c>
    </row>
    <row r="791">
      <c r="A791">
        <f t="shared" si="1"/>
        <v>2481.023941</v>
      </c>
    </row>
    <row r="792">
      <c r="A792">
        <f t="shared" si="1"/>
        <v>16.55055515</v>
      </c>
    </row>
    <row r="793">
      <c r="A793">
        <f t="shared" si="1"/>
        <v>1216.684121</v>
      </c>
    </row>
    <row r="794">
      <c r="A794">
        <f t="shared" si="1"/>
        <v>97.5697336</v>
      </c>
    </row>
    <row r="795">
      <c r="A795">
        <f t="shared" si="1"/>
        <v>2481.023941</v>
      </c>
    </row>
    <row r="796">
      <c r="A796">
        <f t="shared" si="1"/>
        <v>16.55055515</v>
      </c>
    </row>
    <row r="797">
      <c r="A797">
        <f t="shared" si="1"/>
        <v>1216.684121</v>
      </c>
    </row>
    <row r="798">
      <c r="A798">
        <f t="shared" si="1"/>
        <v>97.5697336</v>
      </c>
    </row>
    <row r="799">
      <c r="A799">
        <f t="shared" si="1"/>
        <v>2481.023941</v>
      </c>
    </row>
    <row r="800">
      <c r="A800">
        <f t="shared" si="1"/>
        <v>16.55055515</v>
      </c>
    </row>
    <row r="801">
      <c r="A801">
        <f t="shared" si="1"/>
        <v>1216.684121</v>
      </c>
    </row>
    <row r="802">
      <c r="A802">
        <f t="shared" si="1"/>
        <v>97.5697336</v>
      </c>
    </row>
    <row r="803">
      <c r="A803">
        <f t="shared" si="1"/>
        <v>2481.023941</v>
      </c>
    </row>
    <row r="804">
      <c r="A804">
        <f t="shared" si="1"/>
        <v>16.55055515</v>
      </c>
    </row>
    <row r="805">
      <c r="A805">
        <f t="shared" si="1"/>
        <v>1216.684121</v>
      </c>
    </row>
    <row r="806">
      <c r="A806">
        <f t="shared" si="1"/>
        <v>97.5697336</v>
      </c>
    </row>
    <row r="807">
      <c r="A807">
        <f t="shared" si="1"/>
        <v>2481.023941</v>
      </c>
    </row>
    <row r="808">
      <c r="A808">
        <f t="shared" si="1"/>
        <v>16.55055515</v>
      </c>
    </row>
    <row r="809">
      <c r="A809">
        <f t="shared" si="1"/>
        <v>1216.684121</v>
      </c>
    </row>
    <row r="810">
      <c r="A810">
        <f t="shared" si="1"/>
        <v>97.5697336</v>
      </c>
    </row>
    <row r="811">
      <c r="A811">
        <f t="shared" si="1"/>
        <v>2481.023941</v>
      </c>
    </row>
    <row r="812">
      <c r="A812">
        <f t="shared" si="1"/>
        <v>16.55055515</v>
      </c>
    </row>
    <row r="813">
      <c r="A813">
        <f t="shared" si="1"/>
        <v>1216.684121</v>
      </c>
    </row>
    <row r="814">
      <c r="A814">
        <f t="shared" si="1"/>
        <v>97.5697336</v>
      </c>
    </row>
    <row r="815">
      <c r="A815">
        <f t="shared" si="1"/>
        <v>2481.023941</v>
      </c>
    </row>
    <row r="816">
      <c r="A816">
        <f t="shared" si="1"/>
        <v>16.55055515</v>
      </c>
    </row>
    <row r="817">
      <c r="A817">
        <f t="shared" si="1"/>
        <v>1216.684121</v>
      </c>
    </row>
    <row r="818">
      <c r="A818">
        <f t="shared" si="1"/>
        <v>97.5697336</v>
      </c>
    </row>
    <row r="819">
      <c r="A819">
        <f t="shared" si="1"/>
        <v>2481.023941</v>
      </c>
    </row>
    <row r="820">
      <c r="A820">
        <f t="shared" si="1"/>
        <v>16.55055515</v>
      </c>
    </row>
    <row r="821">
      <c r="A821">
        <f t="shared" si="1"/>
        <v>1216.684121</v>
      </c>
    </row>
    <row r="822">
      <c r="A822">
        <f t="shared" si="1"/>
        <v>97.5697336</v>
      </c>
    </row>
    <row r="823">
      <c r="A823">
        <f t="shared" si="1"/>
        <v>2481.023941</v>
      </c>
    </row>
    <row r="824">
      <c r="A824">
        <f t="shared" si="1"/>
        <v>16.55055515</v>
      </c>
    </row>
    <row r="825">
      <c r="A825">
        <f t="shared" si="1"/>
        <v>1216.684121</v>
      </c>
    </row>
    <row r="826">
      <c r="A826">
        <f t="shared" si="1"/>
        <v>97.5697336</v>
      </c>
    </row>
    <row r="827">
      <c r="A827">
        <f t="shared" si="1"/>
        <v>2481.023941</v>
      </c>
    </row>
    <row r="828">
      <c r="A828">
        <f t="shared" si="1"/>
        <v>16.55055515</v>
      </c>
    </row>
    <row r="829">
      <c r="A829">
        <f t="shared" si="1"/>
        <v>1216.684121</v>
      </c>
    </row>
    <row r="830">
      <c r="A830">
        <f t="shared" si="1"/>
        <v>97.5697336</v>
      </c>
    </row>
    <row r="831">
      <c r="A831">
        <f t="shared" si="1"/>
        <v>2481.023941</v>
      </c>
    </row>
    <row r="832">
      <c r="A832">
        <f t="shared" si="1"/>
        <v>16.55055515</v>
      </c>
    </row>
    <row r="833">
      <c r="A833">
        <f t="shared" si="1"/>
        <v>1216.684121</v>
      </c>
    </row>
    <row r="834">
      <c r="A834">
        <f t="shared" si="1"/>
        <v>97.5697336</v>
      </c>
    </row>
    <row r="835">
      <c r="A835">
        <f t="shared" si="1"/>
        <v>2481.023941</v>
      </c>
    </row>
    <row r="836">
      <c r="A836">
        <f t="shared" si="1"/>
        <v>16.55055515</v>
      </c>
    </row>
    <row r="837">
      <c r="A837">
        <f t="shared" si="1"/>
        <v>1216.684121</v>
      </c>
    </row>
    <row r="838">
      <c r="A838">
        <f t="shared" si="1"/>
        <v>97.5697336</v>
      </c>
    </row>
    <row r="839">
      <c r="A839">
        <f t="shared" si="1"/>
        <v>2481.023941</v>
      </c>
    </row>
    <row r="840">
      <c r="A840">
        <f t="shared" si="1"/>
        <v>16.55055515</v>
      </c>
    </row>
    <row r="841">
      <c r="A841">
        <f t="shared" si="1"/>
        <v>1216.684121</v>
      </c>
    </row>
    <row r="842">
      <c r="A842">
        <f t="shared" si="1"/>
        <v>97.5697336</v>
      </c>
    </row>
    <row r="843">
      <c r="A843">
        <f t="shared" si="1"/>
        <v>2481.023941</v>
      </c>
    </row>
    <row r="844">
      <c r="A844">
        <f t="shared" si="1"/>
        <v>16.55055515</v>
      </c>
    </row>
    <row r="845">
      <c r="A845">
        <f t="shared" si="1"/>
        <v>1216.684121</v>
      </c>
    </row>
    <row r="846">
      <c r="A846">
        <f t="shared" si="1"/>
        <v>97.5697336</v>
      </c>
    </row>
    <row r="847">
      <c r="A847">
        <f t="shared" si="1"/>
        <v>2481.023941</v>
      </c>
    </row>
    <row r="848">
      <c r="A848">
        <f t="shared" si="1"/>
        <v>16.55055515</v>
      </c>
    </row>
    <row r="849">
      <c r="A849">
        <f t="shared" si="1"/>
        <v>1216.684121</v>
      </c>
    </row>
    <row r="850">
      <c r="A850">
        <f t="shared" si="1"/>
        <v>97.5697336</v>
      </c>
    </row>
    <row r="851">
      <c r="A851">
        <f t="shared" si="1"/>
        <v>2481.023941</v>
      </c>
    </row>
    <row r="852">
      <c r="A852">
        <f t="shared" si="1"/>
        <v>16.55055515</v>
      </c>
    </row>
    <row r="853">
      <c r="A853">
        <f t="shared" si="1"/>
        <v>1216.684121</v>
      </c>
    </row>
    <row r="854">
      <c r="A854">
        <f t="shared" si="1"/>
        <v>97.5697336</v>
      </c>
    </row>
    <row r="855">
      <c r="A855">
        <f t="shared" si="1"/>
        <v>2481.023941</v>
      </c>
    </row>
    <row r="856">
      <c r="A856">
        <f t="shared" si="1"/>
        <v>16.55055515</v>
      </c>
    </row>
    <row r="857">
      <c r="A857">
        <f t="shared" si="1"/>
        <v>1216.684121</v>
      </c>
    </row>
    <row r="858">
      <c r="A858">
        <f t="shared" si="1"/>
        <v>97.5697336</v>
      </c>
    </row>
    <row r="859">
      <c r="A859">
        <f t="shared" si="1"/>
        <v>2481.023941</v>
      </c>
    </row>
    <row r="860">
      <c r="A860">
        <f t="shared" si="1"/>
        <v>16.55055515</v>
      </c>
    </row>
    <row r="861">
      <c r="A861">
        <f t="shared" si="1"/>
        <v>1216.684121</v>
      </c>
    </row>
    <row r="862">
      <c r="A862">
        <f t="shared" si="1"/>
        <v>97.5697336</v>
      </c>
    </row>
    <row r="863">
      <c r="A863">
        <f t="shared" si="1"/>
        <v>2481.023941</v>
      </c>
    </row>
    <row r="864">
      <c r="A864">
        <f t="shared" si="1"/>
        <v>16.55055515</v>
      </c>
    </row>
    <row r="865">
      <c r="A865">
        <f t="shared" si="1"/>
        <v>1216.684121</v>
      </c>
    </row>
    <row r="866">
      <c r="A866">
        <f t="shared" si="1"/>
        <v>97.5697336</v>
      </c>
    </row>
    <row r="867">
      <c r="A867">
        <f t="shared" si="1"/>
        <v>2481.023941</v>
      </c>
    </row>
    <row r="868">
      <c r="A868">
        <f t="shared" si="1"/>
        <v>16.55055515</v>
      </c>
    </row>
    <row r="869">
      <c r="A869">
        <f t="shared" si="1"/>
        <v>1216.684121</v>
      </c>
    </row>
    <row r="870">
      <c r="A870">
        <f t="shared" si="1"/>
        <v>97.5697336</v>
      </c>
    </row>
    <row r="871">
      <c r="A871">
        <f t="shared" si="1"/>
        <v>2481.023941</v>
      </c>
    </row>
    <row r="872">
      <c r="A872">
        <f t="shared" si="1"/>
        <v>16.55055515</v>
      </c>
    </row>
    <row r="873">
      <c r="A873">
        <f t="shared" si="1"/>
        <v>1216.684121</v>
      </c>
    </row>
    <row r="874">
      <c r="A874">
        <f t="shared" si="1"/>
        <v>97.5697336</v>
      </c>
    </row>
    <row r="875">
      <c r="A875">
        <f t="shared" si="1"/>
        <v>2481.023941</v>
      </c>
    </row>
    <row r="876">
      <c r="A876">
        <f t="shared" si="1"/>
        <v>16.55055515</v>
      </c>
    </row>
    <row r="877">
      <c r="A877">
        <f t="shared" si="1"/>
        <v>1216.684121</v>
      </c>
    </row>
    <row r="878">
      <c r="A878">
        <f t="shared" si="1"/>
        <v>97.5697336</v>
      </c>
    </row>
    <row r="879">
      <c r="A879">
        <f t="shared" si="1"/>
        <v>2481.023941</v>
      </c>
    </row>
    <row r="880">
      <c r="A880">
        <f t="shared" si="1"/>
        <v>16.55055515</v>
      </c>
    </row>
    <row r="881">
      <c r="A881">
        <f t="shared" si="1"/>
        <v>1216.684121</v>
      </c>
    </row>
    <row r="882">
      <c r="A882">
        <f t="shared" si="1"/>
        <v>97.5697336</v>
      </c>
    </row>
    <row r="883">
      <c r="A883">
        <f t="shared" si="1"/>
        <v>2481.023941</v>
      </c>
    </row>
    <row r="884">
      <c r="A884">
        <f t="shared" si="1"/>
        <v>16.55055515</v>
      </c>
    </row>
    <row r="885">
      <c r="A885">
        <f t="shared" si="1"/>
        <v>1216.684121</v>
      </c>
    </row>
    <row r="886">
      <c r="A886">
        <f t="shared" si="1"/>
        <v>97.5697336</v>
      </c>
    </row>
    <row r="887">
      <c r="A887">
        <f t="shared" si="1"/>
        <v>2481.023941</v>
      </c>
    </row>
    <row r="888">
      <c r="A888">
        <f t="shared" si="1"/>
        <v>16.55055515</v>
      </c>
    </row>
    <row r="889">
      <c r="A889">
        <f t="shared" si="1"/>
        <v>1216.684121</v>
      </c>
    </row>
    <row r="890">
      <c r="A890">
        <f t="shared" si="1"/>
        <v>97.5697336</v>
      </c>
    </row>
    <row r="891">
      <c r="A891">
        <f t="shared" si="1"/>
        <v>2481.023941</v>
      </c>
    </row>
    <row r="892">
      <c r="A892">
        <f t="shared" si="1"/>
        <v>16.55055515</v>
      </c>
    </row>
    <row r="893">
      <c r="A893">
        <f t="shared" si="1"/>
        <v>1216.684121</v>
      </c>
    </row>
    <row r="894">
      <c r="A894">
        <f t="shared" si="1"/>
        <v>97.5697336</v>
      </c>
    </row>
    <row r="895">
      <c r="A895">
        <f t="shared" si="1"/>
        <v>2481.023941</v>
      </c>
    </row>
    <row r="896">
      <c r="A896">
        <f t="shared" si="1"/>
        <v>16.55055515</v>
      </c>
    </row>
    <row r="897">
      <c r="A897">
        <f t="shared" si="1"/>
        <v>1216.684121</v>
      </c>
    </row>
    <row r="898">
      <c r="A898">
        <f t="shared" si="1"/>
        <v>97.5697336</v>
      </c>
    </row>
    <row r="899">
      <c r="A899">
        <f t="shared" si="1"/>
        <v>2481.023941</v>
      </c>
    </row>
    <row r="900">
      <c r="A900">
        <f t="shared" si="1"/>
        <v>16.55055515</v>
      </c>
    </row>
    <row r="901">
      <c r="A901">
        <f t="shared" si="1"/>
        <v>1216.684121</v>
      </c>
    </row>
    <row r="902">
      <c r="A902">
        <f t="shared" si="1"/>
        <v>97.5697336</v>
      </c>
    </row>
    <row r="903">
      <c r="A903">
        <f t="shared" si="1"/>
        <v>2481.023941</v>
      </c>
    </row>
    <row r="904">
      <c r="A904">
        <f t="shared" si="1"/>
        <v>16.55055515</v>
      </c>
    </row>
    <row r="905">
      <c r="A905">
        <f t="shared" si="1"/>
        <v>1216.684121</v>
      </c>
    </row>
    <row r="906">
      <c r="A906">
        <f t="shared" si="1"/>
        <v>97.5697336</v>
      </c>
    </row>
    <row r="907">
      <c r="A907">
        <f t="shared" si="1"/>
        <v>2481.023941</v>
      </c>
    </row>
    <row r="908">
      <c r="A908">
        <f t="shared" si="1"/>
        <v>16.55055515</v>
      </c>
    </row>
    <row r="909">
      <c r="A909">
        <f t="shared" si="1"/>
        <v>1216.684121</v>
      </c>
    </row>
    <row r="910">
      <c r="A910">
        <f t="shared" si="1"/>
        <v>97.5697336</v>
      </c>
    </row>
    <row r="911">
      <c r="A911">
        <f t="shared" si="1"/>
        <v>2481.023941</v>
      </c>
    </row>
    <row r="912">
      <c r="A912">
        <f t="shared" si="1"/>
        <v>16.55055515</v>
      </c>
    </row>
    <row r="913">
      <c r="A913">
        <f t="shared" si="1"/>
        <v>1216.684121</v>
      </c>
    </row>
    <row r="914">
      <c r="A914">
        <f t="shared" si="1"/>
        <v>97.5697336</v>
      </c>
    </row>
    <row r="915">
      <c r="A915">
        <f t="shared" si="1"/>
        <v>2481.023941</v>
      </c>
    </row>
    <row r="916">
      <c r="A916">
        <f t="shared" si="1"/>
        <v>16.55055515</v>
      </c>
    </row>
    <row r="917">
      <c r="A917">
        <f t="shared" si="1"/>
        <v>1216.684121</v>
      </c>
    </row>
    <row r="918">
      <c r="A918">
        <f t="shared" si="1"/>
        <v>97.5697336</v>
      </c>
    </row>
    <row r="919">
      <c r="A919">
        <f t="shared" si="1"/>
        <v>2481.023941</v>
      </c>
    </row>
    <row r="920">
      <c r="A920">
        <f t="shared" si="1"/>
        <v>16.55055515</v>
      </c>
    </row>
    <row r="921">
      <c r="A921">
        <f t="shared" si="1"/>
        <v>1216.684121</v>
      </c>
    </row>
    <row r="922">
      <c r="A922">
        <f t="shared" si="1"/>
        <v>97.5697336</v>
      </c>
    </row>
    <row r="923">
      <c r="A923">
        <f t="shared" si="1"/>
        <v>2481.023941</v>
      </c>
    </row>
    <row r="924">
      <c r="A924">
        <f t="shared" si="1"/>
        <v>16.55055515</v>
      </c>
    </row>
    <row r="925">
      <c r="A925">
        <f t="shared" si="1"/>
        <v>1216.684121</v>
      </c>
    </row>
    <row r="926">
      <c r="A926">
        <f t="shared" si="1"/>
        <v>97.5697336</v>
      </c>
    </row>
    <row r="927">
      <c r="A927">
        <f t="shared" si="1"/>
        <v>2481.023941</v>
      </c>
    </row>
    <row r="928">
      <c r="A928">
        <f t="shared" si="1"/>
        <v>16.55055515</v>
      </c>
    </row>
    <row r="929">
      <c r="A929">
        <f t="shared" si="1"/>
        <v>1216.684121</v>
      </c>
    </row>
    <row r="930">
      <c r="A930">
        <f t="shared" si="1"/>
        <v>97.5697336</v>
      </c>
    </row>
    <row r="931">
      <c r="A931">
        <f t="shared" si="1"/>
        <v>2481.023941</v>
      </c>
    </row>
    <row r="932">
      <c r="A932">
        <f t="shared" si="1"/>
        <v>16.55055515</v>
      </c>
    </row>
    <row r="933">
      <c r="A933">
        <f t="shared" si="1"/>
        <v>1216.684121</v>
      </c>
    </row>
    <row r="934">
      <c r="A934">
        <f t="shared" si="1"/>
        <v>97.5697336</v>
      </c>
    </row>
    <row r="935">
      <c r="A935">
        <f t="shared" si="1"/>
        <v>2481.023941</v>
      </c>
    </row>
    <row r="936">
      <c r="A936">
        <f t="shared" si="1"/>
        <v>16.55055515</v>
      </c>
    </row>
    <row r="937">
      <c r="A937">
        <f t="shared" si="1"/>
        <v>1216.684121</v>
      </c>
    </row>
    <row r="938">
      <c r="A938">
        <f t="shared" si="1"/>
        <v>97.5697336</v>
      </c>
    </row>
    <row r="939">
      <c r="A939">
        <f t="shared" si="1"/>
        <v>2481.023941</v>
      </c>
    </row>
    <row r="940">
      <c r="A940">
        <f t="shared" si="1"/>
        <v>16.55055515</v>
      </c>
    </row>
    <row r="941">
      <c r="A941">
        <f t="shared" si="1"/>
        <v>1216.684121</v>
      </c>
    </row>
    <row r="942">
      <c r="A942">
        <f t="shared" si="1"/>
        <v>97.5697336</v>
      </c>
    </row>
    <row r="943">
      <c r="A943">
        <f t="shared" si="1"/>
        <v>2481.023941</v>
      </c>
    </row>
    <row r="944">
      <c r="A944">
        <f t="shared" si="1"/>
        <v>16.55055515</v>
      </c>
    </row>
    <row r="945">
      <c r="A945">
        <f t="shared" si="1"/>
        <v>1216.684121</v>
      </c>
    </row>
    <row r="946">
      <c r="A946">
        <f t="shared" si="1"/>
        <v>97.5697336</v>
      </c>
    </row>
    <row r="947">
      <c r="A947">
        <f t="shared" si="1"/>
        <v>2481.023941</v>
      </c>
    </row>
    <row r="948">
      <c r="A948">
        <f t="shared" si="1"/>
        <v>16.55055515</v>
      </c>
    </row>
    <row r="949">
      <c r="A949">
        <f t="shared" si="1"/>
        <v>1216.684121</v>
      </c>
    </row>
    <row r="950">
      <c r="A950">
        <f t="shared" si="1"/>
        <v>97.5697336</v>
      </c>
    </row>
    <row r="951">
      <c r="A951">
        <f t="shared" si="1"/>
        <v>2481.023941</v>
      </c>
    </row>
    <row r="952">
      <c r="A952">
        <f t="shared" si="1"/>
        <v>16.55055515</v>
      </c>
    </row>
    <row r="953">
      <c r="A953">
        <f t="shared" si="1"/>
        <v>1216.684121</v>
      </c>
    </row>
    <row r="954">
      <c r="A954">
        <f t="shared" si="1"/>
        <v>97.5697336</v>
      </c>
    </row>
    <row r="955">
      <c r="A955">
        <f t="shared" si="1"/>
        <v>2481.023941</v>
      </c>
    </row>
    <row r="956">
      <c r="A956">
        <f t="shared" si="1"/>
        <v>16.55055515</v>
      </c>
    </row>
    <row r="957">
      <c r="A957">
        <f t="shared" si="1"/>
        <v>1216.684121</v>
      </c>
    </row>
    <row r="958">
      <c r="A958">
        <f t="shared" si="1"/>
        <v>97.5697336</v>
      </c>
    </row>
    <row r="959">
      <c r="A959">
        <f t="shared" si="1"/>
        <v>2481.023941</v>
      </c>
    </row>
    <row r="960">
      <c r="A960">
        <f t="shared" si="1"/>
        <v>16.55055515</v>
      </c>
    </row>
    <row r="961">
      <c r="A961">
        <f t="shared" si="1"/>
        <v>1216.684121</v>
      </c>
    </row>
    <row r="962">
      <c r="A962">
        <f t="shared" si="1"/>
        <v>97.5697336</v>
      </c>
    </row>
    <row r="963">
      <c r="A963">
        <f t="shared" si="1"/>
        <v>2481.023941</v>
      </c>
    </row>
    <row r="964">
      <c r="A964">
        <f t="shared" si="1"/>
        <v>16.55055515</v>
      </c>
    </row>
    <row r="965">
      <c r="A965">
        <f t="shared" si="1"/>
        <v>1216.684121</v>
      </c>
    </row>
    <row r="966">
      <c r="A966">
        <f t="shared" si="1"/>
        <v>97.5697336</v>
      </c>
    </row>
    <row r="967">
      <c r="A967">
        <f t="shared" si="1"/>
        <v>2481.023941</v>
      </c>
    </row>
    <row r="968">
      <c r="A968">
        <f t="shared" si="1"/>
        <v>16.55055515</v>
      </c>
    </row>
    <row r="969">
      <c r="A969">
        <f t="shared" si="1"/>
        <v>1216.684121</v>
      </c>
    </row>
    <row r="970">
      <c r="A970">
        <f t="shared" si="1"/>
        <v>97.5697336</v>
      </c>
    </row>
    <row r="971">
      <c r="A971">
        <f t="shared" si="1"/>
        <v>2481.023941</v>
      </c>
    </row>
    <row r="972">
      <c r="A972">
        <f t="shared" si="1"/>
        <v>16.55055515</v>
      </c>
    </row>
    <row r="973">
      <c r="A973">
        <f t="shared" si="1"/>
        <v>1216.684121</v>
      </c>
    </row>
    <row r="974">
      <c r="A974">
        <f t="shared" si="1"/>
        <v>97.5697336</v>
      </c>
    </row>
    <row r="975">
      <c r="A975">
        <f t="shared" si="1"/>
        <v>2481.023941</v>
      </c>
    </row>
    <row r="976">
      <c r="A976">
        <f t="shared" si="1"/>
        <v>16.55055515</v>
      </c>
    </row>
    <row r="977">
      <c r="A977">
        <f t="shared" si="1"/>
        <v>1216.684121</v>
      </c>
    </row>
    <row r="978">
      <c r="A978">
        <f t="shared" si="1"/>
        <v>97.5697336</v>
      </c>
    </row>
    <row r="979">
      <c r="A979">
        <f t="shared" si="1"/>
        <v>2481.023941</v>
      </c>
    </row>
    <row r="980">
      <c r="A980">
        <f t="shared" si="1"/>
        <v>16.55055515</v>
      </c>
    </row>
    <row r="981">
      <c r="A981">
        <f t="shared" si="1"/>
        <v>1216.684121</v>
      </c>
    </row>
    <row r="982">
      <c r="A982">
        <f t="shared" si="1"/>
        <v>97.5697336</v>
      </c>
    </row>
    <row r="983">
      <c r="A983">
        <f t="shared" si="1"/>
        <v>2481.023941</v>
      </c>
    </row>
    <row r="984">
      <c r="A984">
        <f t="shared" si="1"/>
        <v>16.55055515</v>
      </c>
    </row>
    <row r="985">
      <c r="A985">
        <f t="shared" si="1"/>
        <v>1216.684121</v>
      </c>
    </row>
    <row r="986">
      <c r="A986">
        <f t="shared" si="1"/>
        <v>97.5697336</v>
      </c>
    </row>
    <row r="987">
      <c r="A987">
        <f t="shared" si="1"/>
        <v>2481.023941</v>
      </c>
    </row>
    <row r="988">
      <c r="A988">
        <f t="shared" si="1"/>
        <v>16.55055515</v>
      </c>
    </row>
    <row r="989">
      <c r="A989">
        <f t="shared" si="1"/>
        <v>1216.684121</v>
      </c>
    </row>
    <row r="990">
      <c r="A990">
        <f t="shared" si="1"/>
        <v>97.5697336</v>
      </c>
    </row>
    <row r="991">
      <c r="A991">
        <f t="shared" si="1"/>
        <v>2481.023941</v>
      </c>
    </row>
    <row r="992">
      <c r="A992">
        <f t="shared" si="1"/>
        <v>16.55055515</v>
      </c>
    </row>
    <row r="993">
      <c r="A993">
        <f t="shared" si="1"/>
        <v>1216.684121</v>
      </c>
    </row>
    <row r="994">
      <c r="A994">
        <f t="shared" si="1"/>
        <v>97.5697336</v>
      </c>
    </row>
    <row r="995">
      <c r="A995">
        <f t="shared" si="1"/>
        <v>2481.023941</v>
      </c>
    </row>
    <row r="996">
      <c r="A996">
        <f t="shared" si="1"/>
        <v>16.55055515</v>
      </c>
    </row>
    <row r="997">
      <c r="A997">
        <f t="shared" si="1"/>
        <v>1216.684121</v>
      </c>
    </row>
    <row r="998">
      <c r="A998">
        <f t="shared" si="1"/>
        <v>97.5697336</v>
      </c>
    </row>
    <row r="999">
      <c r="A999">
        <f t="shared" si="1"/>
        <v>2481.023941</v>
      </c>
    </row>
    <row r="1000">
      <c r="A1000">
        <f t="shared" si="1"/>
        <v>16.55055515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3">
      <c r="A3" s="1" t="s">
        <v>1</v>
      </c>
      <c r="B3" s="1">
        <f>0.7</f>
        <v>0.7</v>
      </c>
      <c r="C3" s="1">
        <f>2.1</f>
        <v>2.1</v>
      </c>
    </row>
    <row r="4">
      <c r="A4" s="1">
        <v>0.0</v>
      </c>
      <c r="B4" s="1">
        <v>350.0</v>
      </c>
      <c r="C4" s="1">
        <v>350.0</v>
      </c>
    </row>
    <row r="5">
      <c r="A5" s="1">
        <v>1.0</v>
      </c>
      <c r="B5">
        <f t="shared" ref="B5:C5" si="1">4.6*B4*exp(-0.002*B4)-B$3*B4</f>
        <v>554.5023391</v>
      </c>
      <c r="C5">
        <f t="shared" si="1"/>
        <v>64.5023391</v>
      </c>
    </row>
    <row r="6">
      <c r="A6" s="1">
        <v>2.0</v>
      </c>
      <c r="B6">
        <f t="shared" ref="B6:C6" si="2">4.6*B5*exp(-0.002*B5)-B$3*B5</f>
        <v>453.2950442</v>
      </c>
      <c r="C6">
        <f t="shared" si="2"/>
        <v>125.344901</v>
      </c>
    </row>
    <row r="7">
      <c r="A7" s="1">
        <v>3.0</v>
      </c>
      <c r="B7">
        <f t="shared" ref="B7:C7" si="3">4.6*B6*exp(-0.002*B6)-B$3*B6</f>
        <v>524.8866679</v>
      </c>
      <c r="C7">
        <f t="shared" si="3"/>
        <v>185.5121143</v>
      </c>
    </row>
    <row r="8">
      <c r="A8" s="1">
        <v>4.0</v>
      </c>
      <c r="B8">
        <f t="shared" ref="B8:C8" si="4">4.6*B7*exp(-0.002*B7)-B$3*B7</f>
        <v>477.6880985</v>
      </c>
      <c r="C8">
        <f t="shared" si="4"/>
        <v>199.2632416</v>
      </c>
    </row>
    <row r="9">
      <c r="A9" s="1">
        <v>5.0</v>
      </c>
      <c r="B9">
        <f t="shared" ref="B9:C9" si="5">4.6*B8*exp(-0.002*B8)-B$3*B8</f>
        <v>510.8731243</v>
      </c>
      <c r="C9">
        <f t="shared" si="5"/>
        <v>196.8758904</v>
      </c>
    </row>
    <row r="10">
      <c r="A10" s="1">
        <v>6.0</v>
      </c>
      <c r="B10">
        <f t="shared" ref="B10:C10" si="6">4.6*B9*exp(-0.002*B9)-B$3*B9</f>
        <v>488.3143392</v>
      </c>
      <c r="C10">
        <f t="shared" si="6"/>
        <v>197.4268943</v>
      </c>
    </row>
    <row r="11">
      <c r="A11" s="1">
        <v>7.0</v>
      </c>
      <c r="B11">
        <f t="shared" ref="B11:C11" si="7">4.6*B10*exp(-0.002*B10)-B$3*B10</f>
        <v>504.067961</v>
      </c>
      <c r="C11">
        <f t="shared" si="7"/>
        <v>197.3047487</v>
      </c>
    </row>
    <row r="12">
      <c r="A12" s="1">
        <v>8.0</v>
      </c>
      <c r="B12">
        <f t="shared" ref="B12:C12" si="8">4.6*B11*exp(-0.002*B11)-B$3*B11</f>
        <v>493.2472896</v>
      </c>
      <c r="C12">
        <f t="shared" si="8"/>
        <v>197.3320865</v>
      </c>
    </row>
    <row r="13">
      <c r="A13" s="1">
        <v>9.0</v>
      </c>
      <c r="B13">
        <f t="shared" ref="B13:C13" si="9">4.6*B12*exp(-0.002*B12)-B$3*B12</f>
        <v>500.7717488</v>
      </c>
      <c r="C13">
        <f t="shared" si="9"/>
        <v>197.3259809</v>
      </c>
    </row>
    <row r="14">
      <c r="A14" s="1">
        <v>10.0</v>
      </c>
      <c r="B14">
        <f t="shared" ref="B14:C14" si="10">4.6*B13*exp(-0.002*B13)-B$3*B13</f>
        <v>495.5814837</v>
      </c>
      <c r="C14">
        <f t="shared" si="10"/>
        <v>197.3273452</v>
      </c>
    </row>
    <row r="15">
      <c r="A15" s="1">
        <v>11.0</v>
      </c>
      <c r="B15">
        <f t="shared" ref="B15:C15" si="11">4.6*B14*exp(-0.002*B14)-B$3*B14</f>
        <v>499.1824426</v>
      </c>
      <c r="C15">
        <f t="shared" si="11"/>
        <v>197.3270403</v>
      </c>
    </row>
    <row r="16">
      <c r="A16" s="1">
        <v>12.0</v>
      </c>
      <c r="B16">
        <f t="shared" ref="B16:C16" si="12">4.6*B15*exp(-0.002*B15)-B$3*B15</f>
        <v>496.6938725</v>
      </c>
      <c r="C16">
        <f t="shared" si="12"/>
        <v>197.3271084</v>
      </c>
    </row>
    <row r="17">
      <c r="A17" s="1">
        <v>13.0</v>
      </c>
      <c r="B17">
        <f t="shared" ref="B17:C17" si="13">4.6*B16*exp(-0.002*B16)-B$3*B16</f>
        <v>498.4184251</v>
      </c>
      <c r="C17">
        <f t="shared" si="13"/>
        <v>197.3270932</v>
      </c>
    </row>
    <row r="18">
      <c r="A18" s="1">
        <v>14.0</v>
      </c>
      <c r="B18">
        <f t="shared" ref="B18:C18" si="14">4.6*B17*exp(-0.002*B17)-B$3*B17</f>
        <v>497.2255752</v>
      </c>
      <c r="C18">
        <f t="shared" si="14"/>
        <v>197.3270966</v>
      </c>
    </row>
    <row r="19">
      <c r="A19" s="1">
        <v>15.0</v>
      </c>
      <c r="B19">
        <f t="shared" ref="B19:C19" si="15">4.6*B18*exp(-0.002*B18)-B$3*B18</f>
        <v>498.0517378</v>
      </c>
      <c r="C19">
        <f t="shared" si="15"/>
        <v>197.3270959</v>
      </c>
    </row>
    <row r="20">
      <c r="A20" s="1">
        <v>16.0</v>
      </c>
      <c r="B20">
        <f t="shared" ref="B20:C20" si="16">4.6*B19*exp(-0.002*B19)-B$3*B19</f>
        <v>497.4800582</v>
      </c>
      <c r="C20">
        <f t="shared" si="16"/>
        <v>197.327096</v>
      </c>
    </row>
    <row r="21">
      <c r="A21" s="1">
        <v>17.0</v>
      </c>
      <c r="B21">
        <f t="shared" ref="B21:C21" si="17">4.6*B20*exp(-0.002*B20)-B$3*B20</f>
        <v>497.8758918</v>
      </c>
      <c r="C21">
        <f t="shared" si="17"/>
        <v>197.327096</v>
      </c>
    </row>
    <row r="22">
      <c r="A22" s="1">
        <v>18.0</v>
      </c>
      <c r="B22">
        <f t="shared" ref="B22:C22" si="18">4.6*B21*exp(-0.002*B21)-B$3*B21</f>
        <v>497.6019336</v>
      </c>
      <c r="C22">
        <f t="shared" si="18"/>
        <v>197.327096</v>
      </c>
    </row>
    <row r="23">
      <c r="A23" s="1">
        <v>19.0</v>
      </c>
      <c r="B23">
        <f t="shared" ref="B23:C23" si="19">4.6*B22*exp(-0.002*B22)-B$3*B22</f>
        <v>497.7915984</v>
      </c>
      <c r="C23">
        <f t="shared" si="19"/>
        <v>197.327096</v>
      </c>
    </row>
    <row r="24">
      <c r="A24" s="1">
        <v>20.0</v>
      </c>
      <c r="B24">
        <f t="shared" ref="B24:C24" si="20">4.6*B23*exp(-0.002*B23)-B$3*B23</f>
        <v>497.6603184</v>
      </c>
      <c r="C24">
        <f t="shared" si="20"/>
        <v>197.327096</v>
      </c>
    </row>
    <row r="25">
      <c r="A25" s="1">
        <v>21.0</v>
      </c>
      <c r="B25">
        <f t="shared" ref="B25:C25" si="21">4.6*B24*exp(-0.002*B24)-B$3*B24</f>
        <v>497.7511994</v>
      </c>
      <c r="C25">
        <f t="shared" si="21"/>
        <v>197.327096</v>
      </c>
    </row>
    <row r="26">
      <c r="A26" s="1">
        <v>22.0</v>
      </c>
      <c r="B26">
        <f t="shared" ref="B26:C26" si="22">4.6*B25*exp(-0.002*B25)-B$3*B25</f>
        <v>497.6882916</v>
      </c>
      <c r="C26">
        <f t="shared" si="22"/>
        <v>197.327096</v>
      </c>
    </row>
    <row r="27">
      <c r="A27" s="1">
        <v>23.0</v>
      </c>
      <c r="B27">
        <f t="shared" ref="B27:C27" si="23">4.6*B26*exp(-0.002*B26)-B$3*B26</f>
        <v>497.7318393</v>
      </c>
      <c r="C27">
        <f t="shared" si="23"/>
        <v>197.327096</v>
      </c>
    </row>
    <row r="28">
      <c r="A28" s="1">
        <v>24.0</v>
      </c>
      <c r="B28">
        <f t="shared" ref="B28:C28" si="24">4.6*B27*exp(-0.002*B27)-B$3*B27</f>
        <v>497.701695</v>
      </c>
      <c r="C28">
        <f t="shared" si="24"/>
        <v>197.327096</v>
      </c>
    </row>
    <row r="29">
      <c r="A29" s="1">
        <v>25.0</v>
      </c>
      <c r="B29">
        <f t="shared" ref="B29:C29" si="25">4.6*B28*exp(-0.002*B28)-B$3*B28</f>
        <v>497.722562</v>
      </c>
      <c r="C29">
        <f t="shared" si="25"/>
        <v>197.327096</v>
      </c>
    </row>
    <row r="30">
      <c r="A30" s="1">
        <v>26.0</v>
      </c>
      <c r="B30">
        <f t="shared" ref="B30:C30" si="26">4.6*B29*exp(-0.002*B29)-B$3*B29</f>
        <v>497.7081174</v>
      </c>
      <c r="C30">
        <f t="shared" si="26"/>
        <v>197.327096</v>
      </c>
    </row>
    <row r="31">
      <c r="A31" s="1">
        <v>27.0</v>
      </c>
      <c r="B31">
        <f t="shared" ref="B31:C31" si="27">4.6*B30*exp(-0.002*B30)-B$3*B30</f>
        <v>497.7181164</v>
      </c>
      <c r="C31">
        <f t="shared" si="27"/>
        <v>197.327096</v>
      </c>
    </row>
    <row r="32">
      <c r="A32" s="1">
        <v>28.0</v>
      </c>
      <c r="B32">
        <f t="shared" ref="B32:C32" si="28">4.6*B31*exp(-0.002*B31)-B$3*B31</f>
        <v>497.7111948</v>
      </c>
      <c r="C32">
        <f t="shared" si="28"/>
        <v>197.327096</v>
      </c>
    </row>
    <row r="33">
      <c r="A33" s="1">
        <v>29.0</v>
      </c>
      <c r="B33">
        <f t="shared" ref="B33:C33" si="29">4.6*B32*exp(-0.002*B32)-B$3*B32</f>
        <v>497.7159862</v>
      </c>
      <c r="C33">
        <f t="shared" si="29"/>
        <v>197.327096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8" max="8" width="19.57"/>
    <col customWidth="1" min="9" max="9" width="16.57"/>
  </cols>
  <sheetData>
    <row r="2">
      <c r="A2" s="8" t="s">
        <v>3</v>
      </c>
      <c r="B2" s="8" t="s">
        <v>11</v>
      </c>
      <c r="C2" s="9" t="s">
        <v>12</v>
      </c>
      <c r="D2" s="9" t="s">
        <v>13</v>
      </c>
      <c r="E2" s="8" t="s">
        <v>14</v>
      </c>
      <c r="F2" s="8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  <c r="N2" s="1" t="s">
        <v>21</v>
      </c>
    </row>
    <row r="3">
      <c r="A3" s="8">
        <v>0.0</v>
      </c>
      <c r="B3" s="8">
        <v>0.0</v>
      </c>
      <c r="C3" s="9">
        <v>1950.0</v>
      </c>
      <c r="D3" s="9">
        <v>28.49</v>
      </c>
      <c r="E3">
        <f t="shared" ref="E3:E115" si="1">0.383392155049098-0.00480333649334679*B3</f>
        <v>0.383392155</v>
      </c>
      <c r="F3">
        <f t="shared" ref="F3:F7" si="2">D4/D3-1</f>
        <v>0.3548613549</v>
      </c>
      <c r="G3">
        <f t="shared" ref="G3:G7" si="3">(E3-F3)/F3*100</f>
        <v>8.039985137</v>
      </c>
      <c r="H3" s="1">
        <v>28.49</v>
      </c>
      <c r="I3">
        <f t="shared" ref="I3:I8" si="4">(H3-D3)/D3*100</f>
        <v>0</v>
      </c>
      <c r="J3">
        <f t="shared" ref="J3:J8" si="5">(H3-D3)^2</f>
        <v>0</v>
      </c>
      <c r="M3" s="1">
        <v>0.287325425182162</v>
      </c>
      <c r="N3" s="1">
        <v>28.49</v>
      </c>
      <c r="O3" s="1">
        <v>0.0</v>
      </c>
    </row>
    <row r="4">
      <c r="A4" s="8">
        <v>1.0</v>
      </c>
      <c r="B4" s="8">
        <v>10.0</v>
      </c>
      <c r="C4" s="9">
        <v>1960.0</v>
      </c>
      <c r="D4" s="9">
        <v>38.6</v>
      </c>
      <c r="E4">
        <f t="shared" si="1"/>
        <v>0.3353587901</v>
      </c>
      <c r="F4">
        <f t="shared" si="2"/>
        <v>0.3676165803</v>
      </c>
      <c r="G4">
        <f t="shared" si="3"/>
        <v>-8.774846382</v>
      </c>
      <c r="H4">
        <f t="shared" ref="H4:H14" si="6">(1+E3)*H3</f>
        <v>39.4128425</v>
      </c>
      <c r="I4">
        <f t="shared" si="4"/>
        <v>2.105809579</v>
      </c>
      <c r="J4">
        <f t="shared" si="5"/>
        <v>0.6607129255</v>
      </c>
      <c r="N4">
        <f t="shared" ref="N4:N67" si="7">(1+$M$3)*N3</f>
        <v>36.67590136</v>
      </c>
      <c r="O4" s="1">
        <v>10.0</v>
      </c>
    </row>
    <row r="5">
      <c r="A5" s="8">
        <v>2.0</v>
      </c>
      <c r="B5" s="8">
        <v>20.0</v>
      </c>
      <c r="C5" s="9">
        <v>1970.0</v>
      </c>
      <c r="D5" s="9">
        <v>52.79</v>
      </c>
      <c r="E5">
        <f t="shared" si="1"/>
        <v>0.2873254252</v>
      </c>
      <c r="F5">
        <f t="shared" si="2"/>
        <v>0.2939950748</v>
      </c>
      <c r="G5">
        <f t="shared" si="3"/>
        <v>-2.268626319</v>
      </c>
      <c r="H5">
        <f t="shared" si="6"/>
        <v>52.63028567</v>
      </c>
      <c r="I5">
        <f t="shared" si="4"/>
        <v>-0.3025465575</v>
      </c>
      <c r="J5">
        <f t="shared" si="5"/>
        <v>0.02550866648</v>
      </c>
      <c r="N5">
        <f t="shared" si="7"/>
        <v>47.21382032</v>
      </c>
      <c r="O5" s="1">
        <v>20.0</v>
      </c>
    </row>
    <row r="6">
      <c r="A6" s="5">
        <v>3.0</v>
      </c>
      <c r="B6" s="5">
        <v>30.0</v>
      </c>
      <c r="C6" s="10">
        <v>1980.0</v>
      </c>
      <c r="D6" s="10">
        <v>68.31</v>
      </c>
      <c r="E6" s="7">
        <f t="shared" si="1"/>
        <v>0.2392920602</v>
      </c>
      <c r="F6" s="7">
        <f t="shared" si="2"/>
        <v>0.2433025911</v>
      </c>
      <c r="G6" s="7">
        <f t="shared" si="3"/>
        <v>-1.648371627</v>
      </c>
      <c r="H6" s="7">
        <f t="shared" si="6"/>
        <v>67.75230488</v>
      </c>
      <c r="I6" s="7">
        <f t="shared" si="4"/>
        <v>-0.8164179761</v>
      </c>
      <c r="J6" s="7">
        <f t="shared" si="5"/>
        <v>0.3110238463</v>
      </c>
      <c r="K6" s="7"/>
      <c r="L6" s="7"/>
      <c r="M6" s="7"/>
      <c r="N6">
        <f t="shared" si="7"/>
        <v>60.77955131</v>
      </c>
      <c r="O6" s="1">
        <v>30.0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8">
        <v>4.0</v>
      </c>
      <c r="B7" s="8">
        <v>40.0</v>
      </c>
      <c r="C7" s="9">
        <v>1990.0</v>
      </c>
      <c r="D7" s="9">
        <v>84.93</v>
      </c>
      <c r="E7">
        <f t="shared" si="1"/>
        <v>0.1912586953</v>
      </c>
      <c r="F7">
        <f t="shared" si="2"/>
        <v>0.1768515248</v>
      </c>
      <c r="G7">
        <f t="shared" si="3"/>
        <v>8.146477984</v>
      </c>
      <c r="H7">
        <f t="shared" si="6"/>
        <v>83.9648935</v>
      </c>
      <c r="I7">
        <f t="shared" si="4"/>
        <v>-1.136355231</v>
      </c>
      <c r="J7">
        <f t="shared" si="5"/>
        <v>0.9314305525</v>
      </c>
      <c r="N7">
        <f t="shared" si="7"/>
        <v>78.24306174</v>
      </c>
      <c r="O7" s="1">
        <v>40.0</v>
      </c>
    </row>
    <row r="8">
      <c r="A8" s="8">
        <v>5.0</v>
      </c>
      <c r="B8" s="8">
        <v>50.0</v>
      </c>
      <c r="C8" s="9">
        <v>2000.0</v>
      </c>
      <c r="D8" s="9">
        <v>99.95</v>
      </c>
      <c r="E8">
        <f t="shared" si="1"/>
        <v>0.1432253304</v>
      </c>
      <c r="H8">
        <f t="shared" si="6"/>
        <v>100.0239095</v>
      </c>
      <c r="I8">
        <f t="shared" si="4"/>
        <v>0.07394645868</v>
      </c>
      <c r="J8">
        <f t="shared" si="5"/>
        <v>0.00546261204</v>
      </c>
      <c r="N8">
        <f t="shared" si="7"/>
        <v>100.7242827</v>
      </c>
      <c r="O8" s="1">
        <v>50.0</v>
      </c>
    </row>
    <row r="9">
      <c r="A9" s="8">
        <v>6.0</v>
      </c>
      <c r="B9" s="8">
        <v>60.0</v>
      </c>
      <c r="C9" s="9">
        <v>2010.0</v>
      </c>
      <c r="E9">
        <f t="shared" si="1"/>
        <v>0.09519196545</v>
      </c>
      <c r="F9">
        <f>average(F3:F7)</f>
        <v>0.2873254252</v>
      </c>
      <c r="H9">
        <f t="shared" si="6"/>
        <v>114.349867</v>
      </c>
      <c r="N9">
        <f t="shared" si="7"/>
        <v>129.6649301</v>
      </c>
      <c r="O9" s="1">
        <v>60.0</v>
      </c>
    </row>
    <row r="10">
      <c r="A10" s="8">
        <v>7.0</v>
      </c>
      <c r="B10" s="8">
        <v>70.0</v>
      </c>
      <c r="C10" s="9">
        <v>2020.0</v>
      </c>
      <c r="E10">
        <f t="shared" si="1"/>
        <v>0.04715860051</v>
      </c>
      <c r="H10">
        <f t="shared" si="6"/>
        <v>125.2350556</v>
      </c>
      <c r="J10" s="11">
        <f>sum(J3:J8)</f>
        <v>1.934138603</v>
      </c>
      <c r="N10">
        <f t="shared" si="7"/>
        <v>166.9209612</v>
      </c>
      <c r="O10" s="1">
        <v>70.0</v>
      </c>
    </row>
    <row r="11">
      <c r="A11" s="8">
        <v>8.0</v>
      </c>
      <c r="B11" s="8">
        <v>80.0</v>
      </c>
      <c r="C11" s="9">
        <v>2030.0</v>
      </c>
      <c r="D11">
        <f>((D4-D3)/D3-1+(D5-D4)/D4-1+(D6-D5)/D5-1+(D7-D6)/D6-1+(D8-D7)/D7-1)/5</f>
        <v>-0.7126745748</v>
      </c>
      <c r="E11">
        <f t="shared" si="1"/>
        <v>-0.0008747644186</v>
      </c>
      <c r="H11">
        <f t="shared" si="6"/>
        <v>131.1409655</v>
      </c>
      <c r="N11">
        <f t="shared" si="7"/>
        <v>214.8815974</v>
      </c>
      <c r="O11" s="1">
        <v>80.0</v>
      </c>
    </row>
    <row r="12">
      <c r="A12" s="8">
        <v>9.0</v>
      </c>
      <c r="B12" s="8">
        <v>90.0</v>
      </c>
      <c r="C12" s="9">
        <v>2040.0</v>
      </c>
      <c r="E12">
        <f t="shared" si="1"/>
        <v>-0.04890812935</v>
      </c>
      <c r="H12">
        <f t="shared" si="6"/>
        <v>131.0262481</v>
      </c>
      <c r="N12">
        <f t="shared" si="7"/>
        <v>276.6225437</v>
      </c>
      <c r="O12" s="1">
        <v>90.0</v>
      </c>
    </row>
    <row r="13">
      <c r="A13" s="8">
        <v>10.0</v>
      </c>
      <c r="B13" s="8">
        <v>100.0</v>
      </c>
      <c r="C13" s="9">
        <v>2050.0</v>
      </c>
      <c r="E13">
        <f t="shared" si="1"/>
        <v>-0.09694149429</v>
      </c>
      <c r="H13">
        <f t="shared" si="6"/>
        <v>124.6179994</v>
      </c>
      <c r="N13">
        <f t="shared" si="7"/>
        <v>356.1032337</v>
      </c>
      <c r="O13" s="1">
        <v>100.0</v>
      </c>
    </row>
    <row r="14">
      <c r="E14">
        <f t="shared" si="1"/>
        <v>0.383392155</v>
      </c>
      <c r="H14">
        <f t="shared" si="6"/>
        <v>112.5373443</v>
      </c>
      <c r="N14">
        <f t="shared" si="7"/>
        <v>458.4207468</v>
      </c>
    </row>
    <row r="15">
      <c r="B15" s="1">
        <v>0.0</v>
      </c>
      <c r="E15">
        <f t="shared" si="1"/>
        <v>0.383392155</v>
      </c>
      <c r="H15" s="1">
        <v>28.49</v>
      </c>
      <c r="N15">
        <f t="shared" si="7"/>
        <v>590.1366828</v>
      </c>
    </row>
    <row r="16">
      <c r="B16" s="1">
        <v>10.0</v>
      </c>
      <c r="E16">
        <f t="shared" si="1"/>
        <v>0.3353587901</v>
      </c>
      <c r="H16">
        <f t="shared" ref="H16:H115" si="8">(1+E15)*H15</f>
        <v>39.4128425</v>
      </c>
      <c r="N16">
        <f t="shared" si="7"/>
        <v>759.697956</v>
      </c>
    </row>
    <row r="17">
      <c r="B17" s="1">
        <v>20.0</v>
      </c>
      <c r="E17">
        <f t="shared" si="1"/>
        <v>0.2873254252</v>
      </c>
      <c r="H17">
        <f t="shared" si="8"/>
        <v>52.63028567</v>
      </c>
      <c r="N17">
        <f t="shared" si="7"/>
        <v>977.9784943</v>
      </c>
    </row>
    <row r="18">
      <c r="B18" s="1">
        <v>30.0</v>
      </c>
      <c r="E18">
        <f t="shared" si="1"/>
        <v>0.2392920602</v>
      </c>
      <c r="H18">
        <f t="shared" si="8"/>
        <v>67.75230488</v>
      </c>
      <c r="N18">
        <f t="shared" si="7"/>
        <v>1258.976581</v>
      </c>
    </row>
    <row r="19">
      <c r="B19" s="1">
        <v>40.0</v>
      </c>
      <c r="E19">
        <f t="shared" si="1"/>
        <v>0.1912586953</v>
      </c>
      <c r="H19">
        <f t="shared" si="8"/>
        <v>83.9648935</v>
      </c>
      <c r="N19">
        <f t="shared" si="7"/>
        <v>1620.712562</v>
      </c>
    </row>
    <row r="20">
      <c r="B20" s="1">
        <v>50.0</v>
      </c>
      <c r="E20">
        <f t="shared" si="1"/>
        <v>0.1432253304</v>
      </c>
      <c r="H20">
        <f t="shared" si="8"/>
        <v>100.0239095</v>
      </c>
      <c r="N20">
        <f t="shared" si="7"/>
        <v>2086.384488</v>
      </c>
    </row>
    <row r="21">
      <c r="B21" s="1">
        <v>60.0</v>
      </c>
      <c r="C21" s="9"/>
      <c r="D21" s="8"/>
      <c r="E21">
        <f t="shared" si="1"/>
        <v>0.09519196545</v>
      </c>
      <c r="H21">
        <f t="shared" si="8"/>
        <v>114.349867</v>
      </c>
      <c r="N21">
        <f t="shared" si="7"/>
        <v>2685.855799</v>
      </c>
    </row>
    <row r="22">
      <c r="B22" s="1">
        <v>70.0</v>
      </c>
      <c r="C22" s="9"/>
      <c r="E22">
        <f t="shared" si="1"/>
        <v>0.04715860051</v>
      </c>
      <c r="H22">
        <f t="shared" si="8"/>
        <v>125.2350556</v>
      </c>
      <c r="N22">
        <f t="shared" si="7"/>
        <v>3457.570458</v>
      </c>
    </row>
    <row r="23">
      <c r="B23" s="1">
        <v>80.0</v>
      </c>
      <c r="C23" s="9"/>
      <c r="E23">
        <f t="shared" si="1"/>
        <v>-0.0008747644186</v>
      </c>
      <c r="H23">
        <f t="shared" si="8"/>
        <v>131.1409655</v>
      </c>
      <c r="N23">
        <f t="shared" si="7"/>
        <v>4451.01836</v>
      </c>
    </row>
    <row r="24">
      <c r="B24" s="1">
        <v>90.0</v>
      </c>
      <c r="C24" s="9"/>
      <c r="E24">
        <f t="shared" si="1"/>
        <v>-0.04890812935</v>
      </c>
      <c r="H24">
        <f t="shared" si="8"/>
        <v>131.0262481</v>
      </c>
      <c r="N24">
        <f t="shared" si="7"/>
        <v>5729.909103</v>
      </c>
    </row>
    <row r="25">
      <c r="B25" s="1">
        <v>100.0</v>
      </c>
      <c r="C25" s="9"/>
      <c r="E25">
        <f t="shared" si="1"/>
        <v>-0.09694149429</v>
      </c>
      <c r="H25">
        <f t="shared" si="8"/>
        <v>124.6179994</v>
      </c>
      <c r="N25">
        <f t="shared" si="7"/>
        <v>7376.257672</v>
      </c>
    </row>
    <row r="26">
      <c r="B26" s="1">
        <v>11.0</v>
      </c>
      <c r="C26" s="9"/>
      <c r="E26">
        <f t="shared" si="1"/>
        <v>0.3305554536</v>
      </c>
      <c r="H26">
        <f t="shared" si="8"/>
        <v>112.5373443</v>
      </c>
      <c r="N26">
        <f t="shared" si="7"/>
        <v>9495.644044</v>
      </c>
    </row>
    <row r="27">
      <c r="B27" s="1">
        <v>12.0</v>
      </c>
      <c r="C27" s="9"/>
      <c r="E27">
        <f t="shared" si="1"/>
        <v>0.3257521171</v>
      </c>
      <c r="H27">
        <f t="shared" si="8"/>
        <v>149.7371772</v>
      </c>
      <c r="N27">
        <f t="shared" si="7"/>
        <v>12223.98401</v>
      </c>
    </row>
    <row r="28">
      <c r="B28" s="1">
        <v>13.0</v>
      </c>
      <c r="E28">
        <f t="shared" si="1"/>
        <v>0.3209487806</v>
      </c>
      <c r="H28">
        <f t="shared" si="8"/>
        <v>198.5143797</v>
      </c>
      <c r="N28">
        <f t="shared" si="7"/>
        <v>15736.24541</v>
      </c>
    </row>
    <row r="29">
      <c r="B29" s="1">
        <v>14.0</v>
      </c>
      <c r="E29">
        <f t="shared" si="1"/>
        <v>0.3161454441</v>
      </c>
      <c r="H29">
        <f t="shared" si="8"/>
        <v>262.2273278</v>
      </c>
      <c r="N29">
        <f t="shared" si="7"/>
        <v>20257.66881</v>
      </c>
    </row>
    <row r="30">
      <c r="B30" s="1">
        <v>15.0</v>
      </c>
      <c r="E30">
        <f t="shared" si="1"/>
        <v>0.3113421076</v>
      </c>
      <c r="H30">
        <f t="shared" si="8"/>
        <v>345.1293028</v>
      </c>
      <c r="N30">
        <f t="shared" si="7"/>
        <v>26078.21212</v>
      </c>
    </row>
    <row r="31">
      <c r="B31" s="1">
        <v>16.0</v>
      </c>
      <c r="E31">
        <f t="shared" si="1"/>
        <v>0.3065387712</v>
      </c>
      <c r="H31">
        <f t="shared" si="8"/>
        <v>452.5825873</v>
      </c>
      <c r="N31">
        <f t="shared" si="7"/>
        <v>33571.1455</v>
      </c>
    </row>
    <row r="32">
      <c r="B32" s="1">
        <v>17.0</v>
      </c>
      <c r="E32">
        <f t="shared" si="1"/>
        <v>0.3017354347</v>
      </c>
      <c r="H32">
        <f t="shared" si="8"/>
        <v>591.3166975</v>
      </c>
      <c r="N32">
        <f t="shared" si="7"/>
        <v>43216.98915</v>
      </c>
    </row>
    <row r="33">
      <c r="B33" s="1">
        <v>18.0</v>
      </c>
      <c r="E33">
        <f t="shared" si="1"/>
        <v>0.2969320982</v>
      </c>
      <c r="H33">
        <f t="shared" si="8"/>
        <v>769.7378982</v>
      </c>
      <c r="N33">
        <f t="shared" si="7"/>
        <v>55634.32894</v>
      </c>
    </row>
    <row r="34">
      <c r="B34" s="1">
        <v>19.0</v>
      </c>
      <c r="E34">
        <f t="shared" si="1"/>
        <v>0.2921287617</v>
      </c>
      <c r="H34">
        <f t="shared" si="8"/>
        <v>998.2977873</v>
      </c>
      <c r="N34">
        <f t="shared" si="7"/>
        <v>71619.48615</v>
      </c>
    </row>
    <row r="35">
      <c r="B35" s="1">
        <v>20.0</v>
      </c>
      <c r="E35">
        <f t="shared" si="1"/>
        <v>0.2873254252</v>
      </c>
      <c r="H35">
        <f t="shared" si="8"/>
        <v>1289.929284</v>
      </c>
      <c r="N35">
        <f t="shared" si="7"/>
        <v>92197.58546</v>
      </c>
    </row>
    <row r="36">
      <c r="B36" s="1">
        <v>21.0</v>
      </c>
      <c r="E36">
        <f t="shared" si="1"/>
        <v>0.2825220887</v>
      </c>
      <c r="H36">
        <f t="shared" si="8"/>
        <v>1660.558764</v>
      </c>
      <c r="N36">
        <f t="shared" si="7"/>
        <v>118688.2959</v>
      </c>
    </row>
    <row r="37">
      <c r="B37" s="1">
        <v>22.0</v>
      </c>
      <c r="E37">
        <f t="shared" si="1"/>
        <v>0.2777187522</v>
      </c>
      <c r="H37">
        <f t="shared" si="8"/>
        <v>2129.703294</v>
      </c>
      <c r="N37">
        <f t="shared" si="7"/>
        <v>152790.461</v>
      </c>
    </row>
    <row r="38">
      <c r="B38" s="1">
        <v>23.0</v>
      </c>
      <c r="E38">
        <f t="shared" si="1"/>
        <v>0.2729154157</v>
      </c>
      <c r="H38">
        <f t="shared" si="8"/>
        <v>2721.161835</v>
      </c>
      <c r="N38">
        <f t="shared" si="7"/>
        <v>196691.0452</v>
      </c>
    </row>
    <row r="39">
      <c r="B39" s="1">
        <v>24.0</v>
      </c>
      <c r="E39">
        <f t="shared" si="1"/>
        <v>0.2681120792</v>
      </c>
      <c r="H39">
        <f t="shared" si="8"/>
        <v>3463.808849</v>
      </c>
      <c r="N39">
        <f t="shared" si="7"/>
        <v>253205.3833</v>
      </c>
    </row>
    <row r="40">
      <c r="B40" s="1">
        <v>25.0</v>
      </c>
      <c r="E40">
        <f t="shared" si="1"/>
        <v>0.2633087427</v>
      </c>
      <c r="H40">
        <f t="shared" si="8"/>
        <v>4392.497841</v>
      </c>
      <c r="N40">
        <f t="shared" si="7"/>
        <v>325957.7278</v>
      </c>
    </row>
    <row r="41">
      <c r="B41" s="1">
        <v>26.0</v>
      </c>
      <c r="E41">
        <f t="shared" si="1"/>
        <v>0.2585054062</v>
      </c>
      <c r="H41">
        <f t="shared" si="8"/>
        <v>5549.080925</v>
      </c>
      <c r="N41">
        <f t="shared" si="7"/>
        <v>419613.6705</v>
      </c>
    </row>
    <row r="42">
      <c r="B42" s="1">
        <v>27.0</v>
      </c>
      <c r="E42">
        <f t="shared" si="1"/>
        <v>0.2537020697</v>
      </c>
      <c r="H42">
        <f t="shared" si="8"/>
        <v>6983.548344</v>
      </c>
      <c r="N42">
        <f t="shared" si="7"/>
        <v>540179.3468</v>
      </c>
    </row>
    <row r="43">
      <c r="B43" s="1">
        <v>28.0</v>
      </c>
      <c r="E43">
        <f t="shared" si="1"/>
        <v>0.2488987332</v>
      </c>
      <c r="H43">
        <f t="shared" si="8"/>
        <v>8755.289013</v>
      </c>
      <c r="N43">
        <f t="shared" si="7"/>
        <v>695386.6073</v>
      </c>
    </row>
    <row r="44">
      <c r="B44" s="1">
        <v>29.0</v>
      </c>
      <c r="E44">
        <f t="shared" si="1"/>
        <v>0.2440953967</v>
      </c>
      <c r="H44">
        <f t="shared" si="8"/>
        <v>10934.46936</v>
      </c>
      <c r="N44">
        <f t="shared" si="7"/>
        <v>895188.8599</v>
      </c>
    </row>
    <row r="45">
      <c r="B45" s="1">
        <v>30.0</v>
      </c>
      <c r="E45">
        <f t="shared" si="1"/>
        <v>0.2392920602</v>
      </c>
      <c r="H45">
        <f t="shared" si="8"/>
        <v>13603.52299</v>
      </c>
      <c r="N45">
        <f t="shared" si="7"/>
        <v>1152399.38</v>
      </c>
    </row>
    <row r="46">
      <c r="B46" s="1">
        <v>31.0</v>
      </c>
      <c r="E46">
        <f t="shared" si="1"/>
        <v>0.2344887238</v>
      </c>
      <c r="H46">
        <f t="shared" si="8"/>
        <v>16858.73804</v>
      </c>
      <c r="N46">
        <f t="shared" si="7"/>
        <v>1483513.021</v>
      </c>
    </row>
    <row r="47">
      <c r="B47" s="1">
        <v>32.0</v>
      </c>
      <c r="E47">
        <f t="shared" si="1"/>
        <v>0.2296853873</v>
      </c>
      <c r="H47">
        <f t="shared" si="8"/>
        <v>20811.922</v>
      </c>
      <c r="N47">
        <f t="shared" si="7"/>
        <v>1909764.031</v>
      </c>
    </row>
    <row r="48">
      <c r="B48" s="1">
        <v>33.0</v>
      </c>
      <c r="E48">
        <f t="shared" si="1"/>
        <v>0.2248820508</v>
      </c>
      <c r="H48">
        <f t="shared" si="8"/>
        <v>25592.11637</v>
      </c>
      <c r="N48">
        <f t="shared" si="7"/>
        <v>2458487.793</v>
      </c>
    </row>
    <row r="49">
      <c r="B49" s="1">
        <v>34.0</v>
      </c>
      <c r="E49">
        <f t="shared" si="1"/>
        <v>0.2200787143</v>
      </c>
      <c r="H49">
        <f t="shared" si="8"/>
        <v>31347.32398</v>
      </c>
      <c r="N49">
        <f t="shared" si="7"/>
        <v>3164873.844</v>
      </c>
    </row>
    <row r="50">
      <c r="B50" s="1">
        <v>35.0</v>
      </c>
      <c r="E50">
        <f t="shared" si="1"/>
        <v>0.2152753778</v>
      </c>
      <c r="H50">
        <f t="shared" si="8"/>
        <v>38246.20274</v>
      </c>
      <c r="N50">
        <f t="shared" si="7"/>
        <v>4074222.567</v>
      </c>
    </row>
    <row r="51">
      <c r="B51" s="1">
        <v>36.0</v>
      </c>
      <c r="E51">
        <f t="shared" si="1"/>
        <v>0.2104720413</v>
      </c>
      <c r="H51">
        <f t="shared" si="8"/>
        <v>46479.66848</v>
      </c>
      <c r="N51">
        <f t="shared" si="7"/>
        <v>5244850.298</v>
      </c>
    </row>
    <row r="52">
      <c r="B52" s="1">
        <v>37.0</v>
      </c>
      <c r="E52">
        <f t="shared" si="1"/>
        <v>0.2056687048</v>
      </c>
      <c r="H52">
        <f t="shared" si="8"/>
        <v>56262.33918</v>
      </c>
      <c r="N52">
        <f t="shared" si="7"/>
        <v>6751829.14</v>
      </c>
    </row>
    <row r="53">
      <c r="B53" s="1">
        <v>38.0</v>
      </c>
      <c r="E53">
        <f t="shared" si="1"/>
        <v>0.2008653683</v>
      </c>
      <c r="H53">
        <f t="shared" si="8"/>
        <v>67833.74161</v>
      </c>
      <c r="N53">
        <f t="shared" si="7"/>
        <v>8691801.318</v>
      </c>
    </row>
    <row r="54">
      <c r="B54" s="1">
        <v>39.0</v>
      </c>
      <c r="E54">
        <f t="shared" si="1"/>
        <v>0.1960620318</v>
      </c>
      <c r="H54">
        <f t="shared" si="8"/>
        <v>81459.19111</v>
      </c>
      <c r="N54">
        <f t="shared" si="7"/>
        <v>11189176.83</v>
      </c>
    </row>
    <row r="55">
      <c r="B55" s="1">
        <v>40.0</v>
      </c>
      <c r="E55">
        <f t="shared" si="1"/>
        <v>0.1912586953</v>
      </c>
      <c r="H55">
        <f t="shared" si="8"/>
        <v>97430.24562</v>
      </c>
      <c r="N55">
        <f t="shared" si="7"/>
        <v>14404111.82</v>
      </c>
    </row>
    <row r="56">
      <c r="B56" s="1">
        <v>41.0</v>
      </c>
      <c r="E56">
        <f t="shared" si="1"/>
        <v>0.1864553588</v>
      </c>
      <c r="H56">
        <f t="shared" si="8"/>
        <v>116064.6273</v>
      </c>
      <c r="N56">
        <f t="shared" si="7"/>
        <v>18542779.37</v>
      </c>
    </row>
    <row r="57">
      <c r="B57" s="1">
        <v>42.0</v>
      </c>
      <c r="E57">
        <f t="shared" si="1"/>
        <v>0.1816520223</v>
      </c>
      <c r="H57">
        <f t="shared" si="8"/>
        <v>137705.499</v>
      </c>
      <c r="N57">
        <f t="shared" si="7"/>
        <v>23870591.33</v>
      </c>
    </row>
    <row r="58">
      <c r="B58" s="1">
        <v>43.0</v>
      </c>
      <c r="E58">
        <f t="shared" si="1"/>
        <v>0.1768486858</v>
      </c>
      <c r="H58">
        <f t="shared" si="8"/>
        <v>162719.9814</v>
      </c>
      <c r="N58">
        <f t="shared" si="7"/>
        <v>30729219.14</v>
      </c>
    </row>
    <row r="59">
      <c r="B59" s="1">
        <v>44.0</v>
      </c>
      <c r="E59">
        <f t="shared" si="1"/>
        <v>0.1720453493</v>
      </c>
      <c r="H59">
        <f t="shared" si="8"/>
        <v>191496.7963</v>
      </c>
      <c r="N59">
        <f t="shared" si="7"/>
        <v>39558505.09</v>
      </c>
    </row>
    <row r="60">
      <c r="B60" s="1">
        <v>45.0</v>
      </c>
      <c r="E60">
        <f t="shared" si="1"/>
        <v>0.1672420128</v>
      </c>
      <c r="H60">
        <f t="shared" si="8"/>
        <v>224442.9295</v>
      </c>
      <c r="N60">
        <f t="shared" si="7"/>
        <v>50924669.39</v>
      </c>
    </row>
    <row r="61">
      <c r="B61" s="1">
        <v>46.0</v>
      </c>
      <c r="E61">
        <f t="shared" si="1"/>
        <v>0.1624386764</v>
      </c>
      <c r="H61">
        <f t="shared" si="8"/>
        <v>261979.2168</v>
      </c>
      <c r="N61">
        <f t="shared" si="7"/>
        <v>65556621.67</v>
      </c>
    </row>
    <row r="62">
      <c r="B62" s="1">
        <v>47.0</v>
      </c>
      <c r="E62">
        <f t="shared" si="1"/>
        <v>0.1576353399</v>
      </c>
      <c r="H62">
        <f t="shared" si="8"/>
        <v>304534.774</v>
      </c>
      <c r="N62">
        <f t="shared" si="7"/>
        <v>84392705.87</v>
      </c>
    </row>
    <row r="63">
      <c r="B63" s="1">
        <v>48.0</v>
      </c>
      <c r="E63">
        <f t="shared" si="1"/>
        <v>0.1528320034</v>
      </c>
      <c r="H63">
        <f t="shared" si="8"/>
        <v>352540.2166</v>
      </c>
      <c r="N63">
        <f t="shared" si="7"/>
        <v>108640876</v>
      </c>
    </row>
    <row r="64">
      <c r="B64" s="1">
        <v>49.0</v>
      </c>
      <c r="E64">
        <f t="shared" si="1"/>
        <v>0.1480286669</v>
      </c>
      <c r="H64">
        <f t="shared" si="8"/>
        <v>406419.6441</v>
      </c>
      <c r="N64">
        <f t="shared" si="7"/>
        <v>139856161.8</v>
      </c>
    </row>
    <row r="65">
      <c r="B65" s="1">
        <v>50.0</v>
      </c>
      <c r="E65">
        <f t="shared" si="1"/>
        <v>0.1432253304</v>
      </c>
      <c r="H65">
        <f t="shared" si="8"/>
        <v>466581.4022</v>
      </c>
      <c r="N65">
        <f t="shared" si="7"/>
        <v>180040393</v>
      </c>
    </row>
    <row r="66">
      <c r="B66" s="1">
        <v>51.0</v>
      </c>
      <c r="E66">
        <f t="shared" si="1"/>
        <v>0.1384219939</v>
      </c>
      <c r="H66">
        <f t="shared" si="8"/>
        <v>533407.6777</v>
      </c>
      <c r="N66">
        <f t="shared" si="7"/>
        <v>231770575.5</v>
      </c>
    </row>
    <row r="67">
      <c r="B67" s="1">
        <v>52.0</v>
      </c>
      <c r="E67">
        <f t="shared" si="1"/>
        <v>0.1336186574</v>
      </c>
      <c r="H67">
        <f t="shared" si="8"/>
        <v>607243.032</v>
      </c>
      <c r="N67">
        <f t="shared" si="7"/>
        <v>298364154.6</v>
      </c>
    </row>
    <row r="68">
      <c r="B68" s="1">
        <v>53.0</v>
      </c>
      <c r="E68">
        <f t="shared" si="1"/>
        <v>0.1288153209</v>
      </c>
      <c r="H68">
        <f t="shared" si="8"/>
        <v>688382.0307</v>
      </c>
    </row>
    <row r="69">
      <c r="B69" s="1">
        <v>54.0</v>
      </c>
      <c r="E69">
        <f t="shared" si="1"/>
        <v>0.1240119844</v>
      </c>
      <c r="H69">
        <f t="shared" si="8"/>
        <v>777056.1829</v>
      </c>
    </row>
    <row r="70">
      <c r="B70" s="1">
        <v>55.0</v>
      </c>
      <c r="E70">
        <f t="shared" si="1"/>
        <v>0.1192086479</v>
      </c>
      <c r="H70">
        <f t="shared" si="8"/>
        <v>873420.4621</v>
      </c>
    </row>
    <row r="71">
      <c r="B71" s="1">
        <v>56.0</v>
      </c>
      <c r="E71">
        <f t="shared" si="1"/>
        <v>0.1144053114</v>
      </c>
      <c r="H71">
        <f t="shared" si="8"/>
        <v>977539.7345</v>
      </c>
    </row>
    <row r="72">
      <c r="B72" s="1">
        <v>57.0</v>
      </c>
      <c r="E72">
        <f t="shared" si="1"/>
        <v>0.1096019749</v>
      </c>
      <c r="H72">
        <f t="shared" si="8"/>
        <v>1089375.472</v>
      </c>
    </row>
    <row r="73">
      <c r="B73" s="1">
        <v>58.0</v>
      </c>
      <c r="E73">
        <f t="shared" si="1"/>
        <v>0.1047986384</v>
      </c>
      <c r="H73">
        <f t="shared" si="8"/>
        <v>1208773.175</v>
      </c>
    </row>
    <row r="74">
      <c r="B74" s="1">
        <v>59.0</v>
      </c>
      <c r="E74">
        <f t="shared" si="1"/>
        <v>0.09999530194</v>
      </c>
      <c r="H74">
        <f t="shared" si="8"/>
        <v>1335450.958</v>
      </c>
    </row>
    <row r="75">
      <c r="B75" s="1">
        <v>60.0</v>
      </c>
      <c r="E75">
        <f t="shared" si="1"/>
        <v>0.09519196545</v>
      </c>
      <c r="H75">
        <f t="shared" si="8"/>
        <v>1468989.78</v>
      </c>
    </row>
    <row r="76">
      <c r="B76" s="1">
        <v>61.0</v>
      </c>
      <c r="E76">
        <f t="shared" si="1"/>
        <v>0.09038862895</v>
      </c>
      <c r="H76">
        <f t="shared" si="8"/>
        <v>1608825.805</v>
      </c>
    </row>
    <row r="77">
      <c r="B77" s="1">
        <v>62.0</v>
      </c>
      <c r="E77">
        <f t="shared" si="1"/>
        <v>0.08558529246</v>
      </c>
      <c r="H77">
        <f t="shared" si="8"/>
        <v>1754245.363</v>
      </c>
    </row>
    <row r="78">
      <c r="B78" s="1">
        <v>63.0</v>
      </c>
      <c r="E78">
        <f t="shared" si="1"/>
        <v>0.08078195597</v>
      </c>
      <c r="H78">
        <f t="shared" si="8"/>
        <v>1904382.966</v>
      </c>
    </row>
    <row r="79">
      <c r="B79" s="1">
        <v>64.0</v>
      </c>
      <c r="E79">
        <f t="shared" si="1"/>
        <v>0.07597861947</v>
      </c>
      <c r="H79">
        <f t="shared" si="8"/>
        <v>2058222.747</v>
      </c>
    </row>
    <row r="80">
      <c r="B80" s="1">
        <v>65.0</v>
      </c>
      <c r="E80">
        <f t="shared" si="1"/>
        <v>0.07117528298</v>
      </c>
      <c r="H80">
        <f t="shared" si="8"/>
        <v>2214603.669</v>
      </c>
    </row>
    <row r="81">
      <c r="B81" s="1">
        <v>66.0</v>
      </c>
      <c r="E81">
        <f t="shared" si="1"/>
        <v>0.06637194649</v>
      </c>
      <c r="H81">
        <f t="shared" si="8"/>
        <v>2372228.712</v>
      </c>
    </row>
    <row r="82">
      <c r="B82" s="1">
        <v>67.0</v>
      </c>
      <c r="E82">
        <f t="shared" si="1"/>
        <v>0.06156860999</v>
      </c>
      <c r="H82">
        <f t="shared" si="8"/>
        <v>2529678.15</v>
      </c>
    </row>
    <row r="83">
      <c r="B83" s="1">
        <v>68.0</v>
      </c>
      <c r="E83">
        <f t="shared" si="1"/>
        <v>0.0567652735</v>
      </c>
      <c r="H83">
        <f t="shared" si="8"/>
        <v>2685426.917</v>
      </c>
    </row>
    <row r="84">
      <c r="B84" s="1">
        <v>69.0</v>
      </c>
      <c r="E84">
        <f t="shared" si="1"/>
        <v>0.05196193701</v>
      </c>
      <c r="H84">
        <f t="shared" si="8"/>
        <v>2837865.91</v>
      </c>
    </row>
    <row r="85">
      <c r="B85" s="1">
        <v>70.0</v>
      </c>
      <c r="E85">
        <f t="shared" si="1"/>
        <v>0.04715860051</v>
      </c>
      <c r="H85">
        <f t="shared" si="8"/>
        <v>2985326.92</v>
      </c>
    </row>
    <row r="86">
      <c r="B86" s="1">
        <v>71.0</v>
      </c>
      <c r="E86">
        <f t="shared" si="1"/>
        <v>0.04235526402</v>
      </c>
      <c r="H86">
        <f t="shared" si="8"/>
        <v>3126110.76</v>
      </c>
    </row>
    <row r="87">
      <c r="B87" s="1">
        <v>72.0</v>
      </c>
      <c r="E87">
        <f t="shared" si="1"/>
        <v>0.03755192753</v>
      </c>
      <c r="H87">
        <f t="shared" si="8"/>
        <v>3258518.006</v>
      </c>
    </row>
    <row r="88">
      <c r="B88" s="1">
        <v>73.0</v>
      </c>
      <c r="E88">
        <f t="shared" si="1"/>
        <v>0.03274859103</v>
      </c>
      <c r="H88">
        <f t="shared" si="8"/>
        <v>3380881.638</v>
      </c>
    </row>
    <row r="89">
      <c r="B89" s="1">
        <v>74.0</v>
      </c>
      <c r="E89">
        <f t="shared" si="1"/>
        <v>0.02794525454</v>
      </c>
      <c r="H89">
        <f t="shared" si="8"/>
        <v>3491600.748</v>
      </c>
    </row>
    <row r="90">
      <c r="B90" s="1">
        <v>75.0</v>
      </c>
      <c r="E90">
        <f t="shared" si="1"/>
        <v>0.02314191805</v>
      </c>
      <c r="H90">
        <f t="shared" si="8"/>
        <v>3589174.42</v>
      </c>
    </row>
    <row r="91">
      <c r="B91" s="1">
        <v>76.0</v>
      </c>
      <c r="E91">
        <f t="shared" si="1"/>
        <v>0.01833858155</v>
      </c>
      <c r="H91">
        <f t="shared" si="8"/>
        <v>3672234.8</v>
      </c>
    </row>
    <row r="92">
      <c r="B92" s="1">
        <v>77.0</v>
      </c>
      <c r="E92">
        <f t="shared" si="1"/>
        <v>0.01353524506</v>
      </c>
      <c r="H92">
        <f t="shared" si="8"/>
        <v>3739578.378</v>
      </c>
    </row>
    <row r="93">
      <c r="B93" s="1">
        <v>78.0</v>
      </c>
      <c r="E93">
        <f t="shared" si="1"/>
        <v>0.008731908568</v>
      </c>
      <c r="H93">
        <f t="shared" si="8"/>
        <v>3790194.487</v>
      </c>
    </row>
    <row r="94">
      <c r="B94" s="1">
        <v>79.0</v>
      </c>
      <c r="E94">
        <f t="shared" si="1"/>
        <v>0.003928572075</v>
      </c>
      <c r="H94">
        <f t="shared" si="8"/>
        <v>3823290.119</v>
      </c>
    </row>
    <row r="95">
      <c r="B95" s="1">
        <v>80.0</v>
      </c>
      <c r="E95">
        <f t="shared" si="1"/>
        <v>-0.0008747644186</v>
      </c>
      <c r="H95">
        <f t="shared" si="8"/>
        <v>3838310.19</v>
      </c>
    </row>
    <row r="96">
      <c r="B96" s="1">
        <v>81.0</v>
      </c>
      <c r="E96">
        <f t="shared" si="1"/>
        <v>-0.005678100912</v>
      </c>
      <c r="H96">
        <f t="shared" si="8"/>
        <v>3834952.573</v>
      </c>
    </row>
    <row r="97">
      <c r="B97" s="1">
        <v>82.0</v>
      </c>
      <c r="E97">
        <f t="shared" si="1"/>
        <v>-0.01048143741</v>
      </c>
      <c r="H97">
        <f t="shared" si="8"/>
        <v>3813177.325</v>
      </c>
    </row>
    <row r="98">
      <c r="B98" s="1">
        <v>83.0</v>
      </c>
      <c r="E98">
        <f t="shared" si="1"/>
        <v>-0.0152847739</v>
      </c>
      <c r="H98">
        <f t="shared" si="8"/>
        <v>3773209.746</v>
      </c>
    </row>
    <row r="99">
      <c r="B99" s="1">
        <v>84.0</v>
      </c>
      <c r="E99">
        <f t="shared" si="1"/>
        <v>-0.02008811039</v>
      </c>
      <c r="H99">
        <f t="shared" si="8"/>
        <v>3715537.088</v>
      </c>
    </row>
    <row r="100">
      <c r="B100" s="1">
        <v>85.0</v>
      </c>
      <c r="E100">
        <f t="shared" si="1"/>
        <v>-0.02489144689</v>
      </c>
      <c r="H100">
        <f t="shared" si="8"/>
        <v>3640898.969</v>
      </c>
    </row>
    <row r="101">
      <c r="B101" s="1">
        <v>86.0</v>
      </c>
      <c r="E101">
        <f t="shared" si="1"/>
        <v>-0.02969478338</v>
      </c>
      <c r="H101">
        <f t="shared" si="8"/>
        <v>3550271.725</v>
      </c>
    </row>
    <row r="102">
      <c r="B102" s="1">
        <v>87.0</v>
      </c>
      <c r="E102">
        <f t="shared" si="1"/>
        <v>-0.03449811987</v>
      </c>
      <c r="H102">
        <f t="shared" si="8"/>
        <v>3444847.175</v>
      </c>
    </row>
    <row r="103">
      <c r="B103" s="1">
        <v>88.0</v>
      </c>
      <c r="E103">
        <f t="shared" si="1"/>
        <v>-0.03930145637</v>
      </c>
      <c r="H103">
        <f t="shared" si="8"/>
        <v>3326006.425</v>
      </c>
    </row>
    <row r="104">
      <c r="B104" s="1">
        <v>89.0</v>
      </c>
      <c r="E104">
        <f t="shared" si="1"/>
        <v>-0.04410479286</v>
      </c>
      <c r="H104">
        <f t="shared" si="8"/>
        <v>3195289.528</v>
      </c>
    </row>
    <row r="105">
      <c r="B105" s="1">
        <v>90.0</v>
      </c>
      <c r="E105">
        <f t="shared" si="1"/>
        <v>-0.04890812935</v>
      </c>
      <c r="H105">
        <f t="shared" si="8"/>
        <v>3054361.946</v>
      </c>
    </row>
    <row r="106">
      <c r="B106" s="1">
        <v>91.0</v>
      </c>
      <c r="E106">
        <f t="shared" si="1"/>
        <v>-0.05371146585</v>
      </c>
      <c r="H106">
        <f t="shared" si="8"/>
        <v>2904978.816</v>
      </c>
    </row>
    <row r="107">
      <c r="B107" s="1">
        <v>92.0</v>
      </c>
      <c r="E107">
        <f t="shared" si="1"/>
        <v>-0.05851480234</v>
      </c>
      <c r="H107">
        <f t="shared" si="8"/>
        <v>2748948.146</v>
      </c>
    </row>
    <row r="108">
      <c r="B108" s="1">
        <v>93.0</v>
      </c>
      <c r="E108">
        <f t="shared" si="1"/>
        <v>-0.06331813883</v>
      </c>
      <c r="H108">
        <f t="shared" si="8"/>
        <v>2588093.989</v>
      </c>
    </row>
    <row r="109">
      <c r="B109" s="1">
        <v>94.0</v>
      </c>
      <c r="E109">
        <f t="shared" si="1"/>
        <v>-0.06812147533</v>
      </c>
      <c r="H109">
        <f t="shared" si="8"/>
        <v>2424220.694</v>
      </c>
    </row>
    <row r="110">
      <c r="B110" s="1">
        <v>95.0</v>
      </c>
      <c r="E110">
        <f t="shared" si="1"/>
        <v>-0.07292481182</v>
      </c>
      <c r="H110">
        <f t="shared" si="8"/>
        <v>2259079.204</v>
      </c>
    </row>
    <row r="111">
      <c r="B111" s="1">
        <v>96.0</v>
      </c>
      <c r="E111">
        <f t="shared" si="1"/>
        <v>-0.07772814831</v>
      </c>
      <c r="H111">
        <f t="shared" si="8"/>
        <v>2094336.278</v>
      </c>
    </row>
    <row r="112">
      <c r="B112" s="1">
        <v>97.0</v>
      </c>
      <c r="E112">
        <f t="shared" si="1"/>
        <v>-0.08253148481</v>
      </c>
      <c r="H112">
        <f t="shared" si="8"/>
        <v>1931547.397</v>
      </c>
    </row>
    <row r="113">
      <c r="B113" s="1">
        <v>98.0</v>
      </c>
      <c r="E113">
        <f t="shared" si="1"/>
        <v>-0.0873348213</v>
      </c>
      <c r="H113">
        <f t="shared" si="8"/>
        <v>1772133.923</v>
      </c>
    </row>
    <row r="114">
      <c r="B114" s="1">
        <v>99.0</v>
      </c>
      <c r="E114">
        <f t="shared" si="1"/>
        <v>-0.09213815779</v>
      </c>
      <c r="H114">
        <f t="shared" si="8"/>
        <v>1617364.923</v>
      </c>
    </row>
    <row r="115">
      <c r="B115" s="1">
        <v>100.0</v>
      </c>
      <c r="E115">
        <f t="shared" si="1"/>
        <v>-0.09694149429</v>
      </c>
      <c r="H115">
        <f t="shared" si="8"/>
        <v>1468343.899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17.71"/>
    <col hidden="1" min="16" max="20" width="14.43"/>
  </cols>
  <sheetData>
    <row r="1">
      <c r="L1" s="1" t="s">
        <v>22</v>
      </c>
      <c r="P1" s="1" t="s">
        <v>23</v>
      </c>
      <c r="W1" s="1" t="s">
        <v>24</v>
      </c>
    </row>
    <row r="2">
      <c r="A2" s="9" t="s">
        <v>25</v>
      </c>
      <c r="B2" s="8" t="s">
        <v>26</v>
      </c>
      <c r="C2" s="8" t="s">
        <v>27</v>
      </c>
      <c r="D2" s="8" t="s">
        <v>28</v>
      </c>
      <c r="E2" s="1" t="s">
        <v>29</v>
      </c>
      <c r="I2" s="1" t="s">
        <v>30</v>
      </c>
      <c r="J2" s="1" t="s">
        <v>23</v>
      </c>
      <c r="K2" s="1" t="s">
        <v>29</v>
      </c>
      <c r="L2" s="1">
        <v>2.0</v>
      </c>
      <c r="M2" s="1" t="s">
        <v>29</v>
      </c>
      <c r="N2" s="1" t="s">
        <v>31</v>
      </c>
      <c r="R2" s="1" t="s">
        <v>32</v>
      </c>
      <c r="S2" s="1" t="s">
        <v>29</v>
      </c>
      <c r="T2" s="1" t="s">
        <v>31</v>
      </c>
      <c r="U2" s="1" t="s">
        <v>33</v>
      </c>
      <c r="V2" s="1" t="s">
        <v>34</v>
      </c>
      <c r="W2" s="1">
        <v>2.0</v>
      </c>
      <c r="X2" s="1" t="s">
        <v>29</v>
      </c>
      <c r="Y2" s="1" t="s">
        <v>31</v>
      </c>
    </row>
    <row r="3">
      <c r="A3" s="9">
        <v>0.0</v>
      </c>
      <c r="B3" s="8">
        <v>2.0</v>
      </c>
      <c r="D3" s="1">
        <v>2.0</v>
      </c>
      <c r="I3" s="1">
        <v>2.0</v>
      </c>
      <c r="J3" s="1">
        <v>1.0</v>
      </c>
      <c r="K3" s="1">
        <v>341385.0</v>
      </c>
      <c r="L3">
        <f>- 0.00219057*B3^2 + 1.95922*B3</f>
        <v>3.90967772</v>
      </c>
      <c r="M3">
        <f t="shared" ref="M3:M17" si="1">(L3-C4)^2</f>
        <v>1.188802674</v>
      </c>
      <c r="N3">
        <f t="shared" ref="N3:N17" si="2">(L3-C4)/C4*100</f>
        <v>-21.8064456</v>
      </c>
      <c r="P3" s="1">
        <v>1.0</v>
      </c>
      <c r="Q3" s="1">
        <v>20181.0</v>
      </c>
      <c r="R3">
        <f>3.24147456340216*B3/(1+B3/195.181929752439)</f>
        <v>6.41719311</v>
      </c>
      <c r="S3">
        <f t="shared" ref="S3:S17" si="3">(R3-C4)^2</f>
        <v>2.008436312</v>
      </c>
      <c r="T3">
        <f t="shared" ref="T3:T17" si="4">(R3-C4)/C4*100</f>
        <v>28.3438622</v>
      </c>
      <c r="U3" s="1">
        <v>1.0</v>
      </c>
      <c r="W3">
        <f>2.36628337242437*B3*EXP(-B3/506.012390810635)</f>
        <v>4.713898323</v>
      </c>
      <c r="X3">
        <f t="shared" ref="X3:X17" si="5">(W3-C4)^2</f>
        <v>0.08185416958</v>
      </c>
      <c r="Y3">
        <f t="shared" ref="Y3:Y17" si="6">(W3-C4)/C4*100</f>
        <v>-5.72203354</v>
      </c>
    </row>
    <row r="4">
      <c r="A4" s="9">
        <v>2.0</v>
      </c>
      <c r="B4" s="9">
        <v>5.0</v>
      </c>
      <c r="C4" s="9">
        <v>5.0</v>
      </c>
      <c r="D4" s="1">
        <f t="shared" ref="D4:D18" si="7">3.24147456340216*D3/(1+D3/195.181929752439)</f>
        <v>6.41719311</v>
      </c>
      <c r="E4">
        <f t="shared" ref="E4:E18" si="8">(C4-D4)^2</f>
        <v>2.008436312</v>
      </c>
      <c r="I4" s="1">
        <v>4.0</v>
      </c>
      <c r="J4" s="1">
        <v>2.0</v>
      </c>
      <c r="K4" s="1">
        <v>196255.0</v>
      </c>
      <c r="L4">
        <f t="shared" ref="L4:L17" si="9">- 0.00219057*L3^2 + 1.95922*L3</f>
        <v>7.62643465</v>
      </c>
      <c r="M4">
        <f t="shared" si="1"/>
        <v>206.5993809</v>
      </c>
      <c r="N4">
        <f t="shared" si="2"/>
        <v>-65.33438796</v>
      </c>
      <c r="P4" s="1">
        <v>2.0</v>
      </c>
      <c r="Q4" s="1">
        <v>9043.0</v>
      </c>
      <c r="R4">
        <f t="shared" ref="R4:R18" si="10">3.24147456340216*R3/(1+R3/195.181929752439)</f>
        <v>20.13903682</v>
      </c>
      <c r="S4">
        <f t="shared" si="3"/>
        <v>3.463183976</v>
      </c>
      <c r="T4">
        <f t="shared" si="4"/>
        <v>-8.458923568</v>
      </c>
      <c r="U4" s="1">
        <v>2.0</v>
      </c>
      <c r="V4" s="1">
        <v>58223.0</v>
      </c>
      <c r="W4" s="12">
        <f t="shared" ref="W4:W17" si="11">2.36628337242437*W3*EXP(-W3/506.012390810635)</f>
        <v>11.05098966</v>
      </c>
      <c r="X4">
        <f t="shared" si="5"/>
        <v>119.8808275</v>
      </c>
      <c r="Y4">
        <f t="shared" si="6"/>
        <v>-49.76822884</v>
      </c>
    </row>
    <row r="5">
      <c r="A5" s="9">
        <v>4.0</v>
      </c>
      <c r="B5" s="9">
        <v>22.0</v>
      </c>
      <c r="C5" s="9">
        <v>22.0</v>
      </c>
      <c r="D5" s="1">
        <f t="shared" si="7"/>
        <v>20.13903682</v>
      </c>
      <c r="E5">
        <f t="shared" si="8"/>
        <v>3.463183976</v>
      </c>
      <c r="I5" s="1">
        <v>6.0</v>
      </c>
      <c r="J5" s="1">
        <v>3.0</v>
      </c>
      <c r="K5" s="1">
        <v>127240.0</v>
      </c>
      <c r="L5">
        <f t="shared" si="9"/>
        <v>14.81445426</v>
      </c>
      <c r="M5">
        <f t="shared" si="1"/>
        <v>1779.62027</v>
      </c>
      <c r="N5">
        <f t="shared" si="2"/>
        <v>-74.00972938</v>
      </c>
      <c r="P5" s="1">
        <v>3.0</v>
      </c>
      <c r="Q5" s="1">
        <v>13927.0</v>
      </c>
      <c r="R5">
        <f t="shared" si="10"/>
        <v>59.17450049</v>
      </c>
      <c r="S5">
        <f t="shared" si="3"/>
        <v>4.728452385</v>
      </c>
      <c r="T5">
        <f t="shared" si="4"/>
        <v>3.814913142</v>
      </c>
      <c r="U5" s="1">
        <v>3.0</v>
      </c>
      <c r="V5" s="1">
        <v>30328.0</v>
      </c>
      <c r="W5" s="12">
        <f t="shared" si="11"/>
        <v>25.58486963</v>
      </c>
      <c r="X5">
        <f t="shared" si="5"/>
        <v>986.9104159</v>
      </c>
      <c r="Y5">
        <f t="shared" si="6"/>
        <v>-55.1142638</v>
      </c>
    </row>
    <row r="6">
      <c r="A6" s="9">
        <v>6.0</v>
      </c>
      <c r="B6" s="9">
        <v>57.0</v>
      </c>
      <c r="C6" s="9">
        <v>57.0</v>
      </c>
      <c r="D6" s="1">
        <f t="shared" si="7"/>
        <v>59.17450049</v>
      </c>
      <c r="E6">
        <f t="shared" si="8"/>
        <v>4.728452385</v>
      </c>
      <c r="I6" s="1">
        <v>8.0</v>
      </c>
      <c r="J6" s="1">
        <v>4.0</v>
      </c>
      <c r="K6" s="1">
        <v>87115.0</v>
      </c>
      <c r="L6">
        <f t="shared" si="9"/>
        <v>28.54401493</v>
      </c>
      <c r="M6">
        <f t="shared" si="1"/>
        <v>13330.08449</v>
      </c>
      <c r="N6">
        <f t="shared" si="2"/>
        <v>-80.17776741</v>
      </c>
      <c r="P6" s="1">
        <v>4.0</v>
      </c>
      <c r="Q6" s="1">
        <v>22660.0</v>
      </c>
      <c r="R6">
        <f t="shared" si="10"/>
        <v>147.1885764</v>
      </c>
      <c r="S6">
        <f t="shared" si="3"/>
        <v>10.16701941</v>
      </c>
      <c r="T6">
        <f t="shared" si="4"/>
        <v>2.214289161</v>
      </c>
      <c r="U6" s="1">
        <v>4.0</v>
      </c>
      <c r="W6" s="12">
        <f t="shared" si="11"/>
        <v>57.55608873</v>
      </c>
      <c r="X6">
        <f t="shared" si="5"/>
        <v>7472.549796</v>
      </c>
      <c r="Y6">
        <f t="shared" si="6"/>
        <v>-60.03049394</v>
      </c>
    </row>
    <row r="7">
      <c r="A7" s="9">
        <v>8.0</v>
      </c>
      <c r="B7" s="9">
        <v>144.0</v>
      </c>
      <c r="C7" s="9">
        <v>144.0</v>
      </c>
      <c r="D7" s="1">
        <f t="shared" si="7"/>
        <v>147.1885764</v>
      </c>
      <c r="E7">
        <f t="shared" si="8"/>
        <v>10.16701941</v>
      </c>
      <c r="I7" s="1">
        <v>10.0</v>
      </c>
      <c r="J7" s="1">
        <v>5.0</v>
      </c>
      <c r="K7" s="1">
        <v>61501.0</v>
      </c>
      <c r="L7">
        <f t="shared" si="9"/>
        <v>54.13921439</v>
      </c>
      <c r="M7">
        <f t="shared" si="1"/>
        <v>57533.19647</v>
      </c>
      <c r="N7">
        <f t="shared" si="2"/>
        <v>-81.58530123</v>
      </c>
      <c r="P7" s="1">
        <v>5.0</v>
      </c>
      <c r="R7">
        <f t="shared" si="10"/>
        <v>271.9944143</v>
      </c>
      <c r="S7">
        <f t="shared" si="3"/>
        <v>484.2458019</v>
      </c>
      <c r="T7">
        <f t="shared" si="4"/>
        <v>-7.484893095</v>
      </c>
      <c r="U7" s="1">
        <v>5.0</v>
      </c>
      <c r="V7" s="1">
        <v>12447.0</v>
      </c>
      <c r="W7" s="12">
        <f t="shared" si="11"/>
        <v>121.5512555</v>
      </c>
      <c r="X7">
        <f t="shared" si="5"/>
        <v>29738.56948</v>
      </c>
      <c r="Y7">
        <f t="shared" si="6"/>
        <v>-58.65603554</v>
      </c>
    </row>
    <row r="8">
      <c r="A8" s="9">
        <v>10.0</v>
      </c>
      <c r="B8" s="9">
        <v>294.0</v>
      </c>
      <c r="C8" s="9">
        <v>294.0</v>
      </c>
      <c r="D8" s="1">
        <f t="shared" si="7"/>
        <v>271.9944143</v>
      </c>
      <c r="E8">
        <f t="shared" si="8"/>
        <v>484.2458019</v>
      </c>
      <c r="I8" s="1">
        <v>12.0</v>
      </c>
      <c r="J8" s="1">
        <v>6.0</v>
      </c>
      <c r="K8" s="1">
        <v>44332.0</v>
      </c>
      <c r="L8">
        <f t="shared" si="9"/>
        <v>99.64995148</v>
      </c>
      <c r="M8">
        <f t="shared" si="1"/>
        <v>62175.4467</v>
      </c>
      <c r="N8">
        <f t="shared" si="2"/>
        <v>-71.44700531</v>
      </c>
      <c r="P8" s="1">
        <v>6.0</v>
      </c>
      <c r="R8">
        <f t="shared" si="10"/>
        <v>368.3505878</v>
      </c>
      <c r="S8">
        <f t="shared" si="3"/>
        <v>374.4452466</v>
      </c>
      <c r="T8">
        <f t="shared" si="4"/>
        <v>5.54458102</v>
      </c>
      <c r="U8" s="1">
        <v>6.0</v>
      </c>
      <c r="V8" s="1">
        <v>11320.0</v>
      </c>
      <c r="W8" s="12">
        <f t="shared" si="11"/>
        <v>226.2052033</v>
      </c>
      <c r="X8">
        <f t="shared" si="5"/>
        <v>15078.56209</v>
      </c>
      <c r="Y8">
        <f t="shared" si="6"/>
        <v>-35.1847555</v>
      </c>
    </row>
    <row r="9">
      <c r="A9" s="9">
        <v>12.0</v>
      </c>
      <c r="B9" s="9">
        <v>349.0</v>
      </c>
      <c r="C9" s="9">
        <v>349.0</v>
      </c>
      <c r="D9" s="1">
        <f t="shared" si="7"/>
        <v>368.3505878</v>
      </c>
      <c r="E9">
        <f t="shared" si="8"/>
        <v>374.4452466</v>
      </c>
      <c r="I9" s="1">
        <v>14.0</v>
      </c>
      <c r="J9" s="1">
        <v>7.0</v>
      </c>
      <c r="K9" s="1">
        <v>32569.0</v>
      </c>
      <c r="L9">
        <f t="shared" si="9"/>
        <v>173.4835707</v>
      </c>
      <c r="M9">
        <f t="shared" si="1"/>
        <v>33678.27983</v>
      </c>
      <c r="N9">
        <f t="shared" si="2"/>
        <v>-51.40516227</v>
      </c>
      <c r="P9" s="1">
        <v>7.0</v>
      </c>
      <c r="R9">
        <f t="shared" si="10"/>
        <v>413.5467494</v>
      </c>
      <c r="S9">
        <f t="shared" si="3"/>
        <v>3197.534864</v>
      </c>
      <c r="T9">
        <f t="shared" si="4"/>
        <v>15.83942559</v>
      </c>
      <c r="U9" s="1">
        <v>7.0</v>
      </c>
      <c r="V9" s="1">
        <v>12968.0</v>
      </c>
      <c r="W9" s="12">
        <f t="shared" si="11"/>
        <v>342.3139108</v>
      </c>
      <c r="X9">
        <f t="shared" si="5"/>
        <v>215.6812146</v>
      </c>
      <c r="Y9">
        <f t="shared" si="6"/>
        <v>-4.113750463</v>
      </c>
    </row>
    <row r="10">
      <c r="A10" s="9">
        <v>14.0</v>
      </c>
      <c r="B10" s="9">
        <v>357.0</v>
      </c>
      <c r="C10" s="9">
        <v>357.0</v>
      </c>
      <c r="D10" s="1">
        <f t="shared" si="7"/>
        <v>413.5467494</v>
      </c>
      <c r="E10">
        <f t="shared" si="8"/>
        <v>3197.534864</v>
      </c>
      <c r="I10" s="1">
        <v>16.0</v>
      </c>
      <c r="J10" s="1">
        <v>8.0</v>
      </c>
      <c r="K10" s="1">
        <v>24502.0</v>
      </c>
      <c r="L10">
        <f t="shared" si="9"/>
        <v>273.9638834</v>
      </c>
      <c r="M10">
        <f t="shared" si="1"/>
        <v>16393.24716</v>
      </c>
      <c r="N10">
        <f t="shared" si="2"/>
        <v>-31.84978026</v>
      </c>
      <c r="P10" s="1">
        <v>8.0</v>
      </c>
      <c r="R10">
        <f t="shared" si="10"/>
        <v>429.8164904</v>
      </c>
      <c r="S10">
        <f t="shared" si="3"/>
        <v>773.7571404</v>
      </c>
      <c r="T10">
        <f t="shared" si="4"/>
        <v>6.919524985</v>
      </c>
      <c r="U10" s="1">
        <v>8.0</v>
      </c>
      <c r="W10" s="12">
        <f t="shared" si="11"/>
        <v>411.8073206</v>
      </c>
      <c r="X10">
        <f t="shared" si="5"/>
        <v>96.18353788</v>
      </c>
      <c r="Y10">
        <f t="shared" si="6"/>
        <v>2.439631997</v>
      </c>
    </row>
    <row r="11">
      <c r="A11" s="9">
        <v>16.0</v>
      </c>
      <c r="B11" s="9">
        <v>402.0</v>
      </c>
      <c r="C11" s="9">
        <v>402.0</v>
      </c>
      <c r="D11" s="1">
        <f t="shared" si="7"/>
        <v>429.8164904</v>
      </c>
      <c r="E11">
        <f t="shared" si="8"/>
        <v>773.7571404</v>
      </c>
      <c r="I11" s="1">
        <v>18.0</v>
      </c>
      <c r="J11" s="1">
        <v>9.0</v>
      </c>
      <c r="K11" s="1">
        <v>19086.0</v>
      </c>
      <c r="L11">
        <f t="shared" si="9"/>
        <v>372.339639</v>
      </c>
      <c r="M11">
        <f t="shared" si="1"/>
        <v>7684.338898</v>
      </c>
      <c r="N11">
        <f t="shared" si="2"/>
        <v>-19.05660023</v>
      </c>
      <c r="P11" s="1">
        <v>9.0</v>
      </c>
      <c r="R11">
        <f t="shared" si="10"/>
        <v>435.0972913</v>
      </c>
      <c r="S11">
        <f t="shared" si="3"/>
        <v>620.1448999</v>
      </c>
      <c r="T11">
        <f t="shared" si="4"/>
        <v>-5.413632323</v>
      </c>
      <c r="U11" s="1">
        <v>9.0</v>
      </c>
      <c r="W11" s="12">
        <f t="shared" si="11"/>
        <v>431.836726</v>
      </c>
      <c r="X11">
        <f t="shared" si="5"/>
        <v>793.1700047</v>
      </c>
      <c r="Y11">
        <f t="shared" si="6"/>
        <v>-6.122450879</v>
      </c>
    </row>
    <row r="12">
      <c r="A12" s="9">
        <v>18.0</v>
      </c>
      <c r="B12" s="9">
        <v>460.0</v>
      </c>
      <c r="C12" s="9">
        <v>460.0</v>
      </c>
      <c r="D12" s="1">
        <f t="shared" si="7"/>
        <v>435.0972913</v>
      </c>
      <c r="E12">
        <f t="shared" si="8"/>
        <v>620.1448999</v>
      </c>
      <c r="I12" s="1">
        <v>20.0</v>
      </c>
      <c r="J12" s="1">
        <v>10.0</v>
      </c>
      <c r="K12" s="1">
        <v>15643.0</v>
      </c>
      <c r="L12">
        <f t="shared" si="9"/>
        <v>425.8016377</v>
      </c>
      <c r="M12">
        <f t="shared" si="1"/>
        <v>10.22952139</v>
      </c>
      <c r="N12">
        <f t="shared" si="2"/>
        <v>-0.7455389974</v>
      </c>
      <c r="P12" s="1">
        <v>10.0</v>
      </c>
      <c r="R12">
        <f t="shared" si="10"/>
        <v>436.7527171</v>
      </c>
      <c r="S12">
        <f t="shared" si="3"/>
        <v>60.10462242</v>
      </c>
      <c r="T12">
        <f t="shared" si="4"/>
        <v>1.807160163</v>
      </c>
      <c r="U12" s="1">
        <v>10.0</v>
      </c>
      <c r="W12" s="12">
        <f t="shared" si="11"/>
        <v>435.2657343</v>
      </c>
      <c r="X12">
        <f t="shared" si="5"/>
        <v>39.25942609</v>
      </c>
      <c r="Y12">
        <f t="shared" si="6"/>
        <v>1.460544122</v>
      </c>
    </row>
    <row r="13">
      <c r="A13" s="9">
        <v>20.0</v>
      </c>
      <c r="B13" s="9">
        <v>429.0</v>
      </c>
      <c r="C13" s="9">
        <v>429.0</v>
      </c>
      <c r="D13" s="1">
        <f t="shared" si="7"/>
        <v>436.7527171</v>
      </c>
      <c r="E13">
        <f t="shared" si="8"/>
        <v>60.10462242</v>
      </c>
      <c r="I13" s="1">
        <v>22.0</v>
      </c>
      <c r="J13" s="1">
        <v>11.0</v>
      </c>
      <c r="K13" s="1">
        <v>13706.0</v>
      </c>
      <c r="L13">
        <f t="shared" si="9"/>
        <v>437.0733337</v>
      </c>
      <c r="M13">
        <f t="shared" si="1"/>
        <v>145.7653862</v>
      </c>
      <c r="N13">
        <f t="shared" si="2"/>
        <v>2.840784396</v>
      </c>
      <c r="P13" s="1">
        <v>11.0</v>
      </c>
      <c r="R13">
        <f t="shared" si="10"/>
        <v>437.2659641</v>
      </c>
      <c r="S13">
        <f t="shared" si="3"/>
        <v>150.4538745</v>
      </c>
      <c r="T13">
        <f t="shared" si="4"/>
        <v>2.886109192</v>
      </c>
      <c r="U13" s="1">
        <v>11.0</v>
      </c>
      <c r="W13" s="12">
        <f t="shared" si="11"/>
        <v>435.7590086</v>
      </c>
      <c r="X13">
        <f t="shared" si="5"/>
        <v>115.7562662</v>
      </c>
      <c r="Y13">
        <f t="shared" si="6"/>
        <v>2.531531437</v>
      </c>
    </row>
    <row r="14">
      <c r="A14" s="9">
        <v>22.0</v>
      </c>
      <c r="B14" s="9">
        <v>425.0</v>
      </c>
      <c r="C14" s="9">
        <v>425.0</v>
      </c>
      <c r="D14" s="1">
        <f t="shared" si="7"/>
        <v>437.2659641</v>
      </c>
      <c r="E14">
        <f t="shared" si="8"/>
        <v>150.4538745</v>
      </c>
      <c r="I14" s="1">
        <v>24.0</v>
      </c>
      <c r="J14" s="1">
        <v>12.0</v>
      </c>
      <c r="K14" s="1">
        <v>12944.0</v>
      </c>
      <c r="L14">
        <f t="shared" si="9"/>
        <v>437.8514411</v>
      </c>
      <c r="M14">
        <f t="shared" si="1"/>
        <v>477.4854784</v>
      </c>
      <c r="N14">
        <f t="shared" si="2"/>
        <v>5.252750266</v>
      </c>
      <c r="P14" s="1">
        <v>12.0</v>
      </c>
      <c r="R14">
        <f t="shared" si="10"/>
        <v>437.4245451</v>
      </c>
      <c r="S14">
        <f t="shared" si="3"/>
        <v>459.0111337</v>
      </c>
      <c r="T14">
        <f t="shared" si="4"/>
        <v>5.150131039</v>
      </c>
      <c r="U14" s="1">
        <v>12.0</v>
      </c>
      <c r="W14" s="12">
        <f t="shared" si="11"/>
        <v>435.8277783</v>
      </c>
      <c r="X14">
        <f t="shared" si="5"/>
        <v>393.1407922</v>
      </c>
      <c r="Y14">
        <f t="shared" si="6"/>
        <v>4.76629286</v>
      </c>
    </row>
    <row r="15">
      <c r="A15" s="9">
        <v>24.0</v>
      </c>
      <c r="B15" s="9">
        <v>416.0</v>
      </c>
      <c r="C15" s="9">
        <v>416.0</v>
      </c>
      <c r="D15" s="1">
        <f t="shared" si="7"/>
        <v>437.4245451</v>
      </c>
      <c r="E15">
        <f t="shared" si="8"/>
        <v>459.0111337</v>
      </c>
      <c r="I15" s="1">
        <v>26.0</v>
      </c>
      <c r="J15" s="1">
        <v>13.0</v>
      </c>
      <c r="K15" s="1">
        <v>13114.0</v>
      </c>
      <c r="L15">
        <f t="shared" si="9"/>
        <v>437.8846165</v>
      </c>
      <c r="M15">
        <f t="shared" si="1"/>
        <v>1452.782458</v>
      </c>
      <c r="N15">
        <f t="shared" si="2"/>
        <v>-8.007433504</v>
      </c>
      <c r="P15" s="1">
        <v>13.0</v>
      </c>
      <c r="R15">
        <f t="shared" si="10"/>
        <v>437.4734908</v>
      </c>
      <c r="S15">
        <f t="shared" si="3"/>
        <v>1484.291908</v>
      </c>
      <c r="T15">
        <f t="shared" si="4"/>
        <v>-8.093804444</v>
      </c>
      <c r="U15" s="1">
        <v>13.0</v>
      </c>
      <c r="W15" s="12">
        <f t="shared" si="11"/>
        <v>435.8373223</v>
      </c>
      <c r="X15">
        <f t="shared" si="5"/>
        <v>1613.040682</v>
      </c>
      <c r="Y15">
        <f t="shared" si="6"/>
        <v>-8.437537336</v>
      </c>
    </row>
    <row r="16">
      <c r="A16" s="9">
        <v>26.0</v>
      </c>
      <c r="B16" s="9">
        <v>476.0</v>
      </c>
      <c r="C16" s="9">
        <v>476.0</v>
      </c>
      <c r="D16" s="1">
        <f t="shared" si="7"/>
        <v>437.4734908</v>
      </c>
      <c r="E16">
        <f t="shared" si="8"/>
        <v>1484.291908</v>
      </c>
      <c r="I16" s="1">
        <v>28.0</v>
      </c>
      <c r="J16" s="1">
        <v>14.0</v>
      </c>
      <c r="L16">
        <f t="shared" si="9"/>
        <v>437.885972</v>
      </c>
      <c r="M16">
        <f t="shared" si="1"/>
        <v>9.69717019</v>
      </c>
      <c r="N16">
        <f t="shared" si="2"/>
        <v>-0.7061287911</v>
      </c>
      <c r="P16" s="1">
        <v>14.0</v>
      </c>
      <c r="R16">
        <f t="shared" si="10"/>
        <v>437.4885929</v>
      </c>
      <c r="S16">
        <f t="shared" si="3"/>
        <v>12.32997989</v>
      </c>
      <c r="T16">
        <f t="shared" si="4"/>
        <v>-0.7962374397</v>
      </c>
      <c r="U16" s="1">
        <v>14.0</v>
      </c>
      <c r="W16" s="12">
        <f t="shared" si="11"/>
        <v>435.838646</v>
      </c>
      <c r="X16">
        <f t="shared" si="5"/>
        <v>26.63957544</v>
      </c>
      <c r="Y16">
        <f t="shared" si="6"/>
        <v>-1.170375064</v>
      </c>
    </row>
    <row r="17">
      <c r="A17" s="9">
        <v>28.0</v>
      </c>
      <c r="B17" s="9">
        <v>441.0</v>
      </c>
      <c r="C17" s="9">
        <v>441.0</v>
      </c>
      <c r="D17" s="1">
        <f t="shared" si="7"/>
        <v>437.4885929</v>
      </c>
      <c r="E17">
        <f t="shared" si="8"/>
        <v>12.32997989</v>
      </c>
      <c r="I17" s="1">
        <v>30.0</v>
      </c>
      <c r="J17" s="1">
        <v>15.0</v>
      </c>
      <c r="L17">
        <f t="shared" si="9"/>
        <v>437.8860273</v>
      </c>
      <c r="M17">
        <f t="shared" si="1"/>
        <v>1377.446969</v>
      </c>
      <c r="N17">
        <f t="shared" si="2"/>
        <v>-7.813467934</v>
      </c>
      <c r="P17" s="1">
        <v>15.0</v>
      </c>
      <c r="R17">
        <f t="shared" si="10"/>
        <v>437.4932521</v>
      </c>
      <c r="S17">
        <f t="shared" si="3"/>
        <v>1406.756138</v>
      </c>
      <c r="T17">
        <f t="shared" si="4"/>
        <v>-7.896157451</v>
      </c>
      <c r="U17" s="1">
        <v>15.0</v>
      </c>
      <c r="W17" s="12">
        <f t="shared" si="11"/>
        <v>435.8388295</v>
      </c>
      <c r="X17">
        <f t="shared" si="5"/>
        <v>1533.597272</v>
      </c>
      <c r="Y17">
        <f t="shared" si="6"/>
        <v>-8.244456939</v>
      </c>
    </row>
    <row r="18">
      <c r="A18" s="9">
        <v>30.0</v>
      </c>
      <c r="B18" s="9">
        <v>475.0</v>
      </c>
      <c r="C18" s="9">
        <v>475.0</v>
      </c>
      <c r="D18" s="1">
        <f t="shared" si="7"/>
        <v>437.4932521</v>
      </c>
      <c r="E18">
        <f t="shared" si="8"/>
        <v>1406.756138</v>
      </c>
      <c r="I18" s="1">
        <v>30.0</v>
      </c>
      <c r="J18" s="1">
        <v>16.0</v>
      </c>
      <c r="P18" s="1">
        <v>16.0</v>
      </c>
      <c r="R18">
        <f t="shared" si="10"/>
        <v>437.4946895</v>
      </c>
      <c r="U18" s="1">
        <v>16.0</v>
      </c>
      <c r="W18" s="12"/>
    </row>
    <row r="19">
      <c r="J19" s="1">
        <v>17.0</v>
      </c>
      <c r="M19">
        <f>sum(M3:M17)</f>
        <v>196255.409</v>
      </c>
    </row>
    <row r="20">
      <c r="E20">
        <f>sum(E4:E18)</f>
        <v>9043.4427</v>
      </c>
      <c r="J20" s="1">
        <v>18.0</v>
      </c>
      <c r="S20">
        <f>sum(S3:S17)</f>
        <v>9043.4427</v>
      </c>
      <c r="X20">
        <f>sum(X3:X17)</f>
        <v>58223.02324</v>
      </c>
    </row>
    <row r="21">
      <c r="J21" s="1">
        <v>19.0</v>
      </c>
    </row>
    <row r="22">
      <c r="J22" s="1">
        <v>20.0</v>
      </c>
    </row>
    <row r="23">
      <c r="J23" s="1">
        <v>21.0</v>
      </c>
    </row>
    <row r="24">
      <c r="J24" s="1">
        <v>22.0</v>
      </c>
    </row>
    <row r="25">
      <c r="J25" s="1">
        <v>23.0</v>
      </c>
    </row>
    <row r="26">
      <c r="J26" s="1">
        <v>24.0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3" t="s">
        <v>35</v>
      </c>
      <c r="B1" s="13" t="s">
        <v>36</v>
      </c>
      <c r="D1" s="1" t="s">
        <v>37</v>
      </c>
      <c r="E1" s="1" t="s">
        <v>38</v>
      </c>
      <c r="F1" s="1" t="s">
        <v>31</v>
      </c>
      <c r="H1" s="1" t="s">
        <v>39</v>
      </c>
      <c r="I1" s="1" t="s">
        <v>40</v>
      </c>
      <c r="J1" s="1" t="s">
        <v>31</v>
      </c>
      <c r="M1" s="1" t="s">
        <v>41</v>
      </c>
      <c r="N1" s="1" t="s">
        <v>31</v>
      </c>
      <c r="O1" s="1" t="s">
        <v>29</v>
      </c>
    </row>
    <row r="2">
      <c r="A2" s="14">
        <v>0.0</v>
      </c>
      <c r="B2" s="14">
        <v>4.3</v>
      </c>
      <c r="D2" s="1">
        <v>2.52451782226562</v>
      </c>
      <c r="E2" s="1">
        <v>4.3</v>
      </c>
      <c r="H2" s="1">
        <v>4.49479125976563</v>
      </c>
      <c r="I2" s="1">
        <v>4.3</v>
      </c>
      <c r="L2" s="15">
        <v>4.053</v>
      </c>
      <c r="M2" s="1">
        <v>4.3</v>
      </c>
      <c r="N2">
        <f>(L2-B2)/B2*100</f>
        <v>-5.744186047</v>
      </c>
      <c r="O2">
        <f>(L2-B2)^2</f>
        <v>0.061009</v>
      </c>
    </row>
    <row r="3">
      <c r="A3" s="14">
        <v>1.0</v>
      </c>
      <c r="B3" s="14">
        <v>5.2</v>
      </c>
      <c r="E3" s="16">
        <f t="shared" ref="E3:E12" si="1">1.72044506213161*E2-0.0335187082993628*E2^2</f>
        <v>6.778152851</v>
      </c>
      <c r="F3">
        <f t="shared" ref="F3:F12" si="2">(E3-B3)/B3*100</f>
        <v>30.34909328</v>
      </c>
      <c r="I3" s="16">
        <f t="shared" ref="I3:I12" si="3">3.0351051804208*I2-0.0804029148773611*I2^2-7.06210304680502</f>
        <v>4.502199333</v>
      </c>
      <c r="J3">
        <f t="shared" ref="J3:J12" si="4">(I3-B3)/B3*100</f>
        <v>-13.4192436</v>
      </c>
      <c r="M3" s="16">
        <f t="shared" ref="M3:M12" si="5">0.869365040540936*M2+0.107031460490896*M2^2-0.00476953097596288*M2^3</f>
        <v>5.338070279</v>
      </c>
      <c r="N3">
        <f t="shared" ref="N3:N12" si="6">(M3-B3)/B3*100</f>
        <v>2.655197683</v>
      </c>
      <c r="O3">
        <f t="shared" ref="O3:O12" si="7">(M3-B3)^2</f>
        <v>0.01906340208</v>
      </c>
    </row>
    <row r="4">
      <c r="A4" s="14">
        <v>2.0</v>
      </c>
      <c r="B4" s="14">
        <v>6.2</v>
      </c>
      <c r="E4" s="16">
        <f t="shared" si="1"/>
        <v>10.12147765</v>
      </c>
      <c r="F4">
        <f t="shared" si="2"/>
        <v>63.24963955</v>
      </c>
      <c r="I4" s="16">
        <f t="shared" si="3"/>
        <v>4.972794562</v>
      </c>
      <c r="J4">
        <f t="shared" si="4"/>
        <v>-19.7936361</v>
      </c>
      <c r="M4">
        <f t="shared" si="5"/>
        <v>6.965107379</v>
      </c>
      <c r="N4">
        <f t="shared" si="6"/>
        <v>12.34044159</v>
      </c>
      <c r="O4">
        <f t="shared" si="7"/>
        <v>0.5853893009</v>
      </c>
    </row>
    <row r="5">
      <c r="A5" s="14">
        <v>3.0</v>
      </c>
      <c r="B5" s="14">
        <v>8.5</v>
      </c>
      <c r="E5" s="16">
        <f t="shared" si="1"/>
        <v>13.97964531</v>
      </c>
      <c r="F5">
        <f t="shared" si="2"/>
        <v>64.4664154</v>
      </c>
      <c r="I5" s="16">
        <f t="shared" si="3"/>
        <v>6.042593073</v>
      </c>
      <c r="J5">
        <f t="shared" si="4"/>
        <v>-28.91066973</v>
      </c>
      <c r="M5">
        <f t="shared" si="5"/>
        <v>9.636001303</v>
      </c>
      <c r="N5">
        <f t="shared" si="6"/>
        <v>13.36472121</v>
      </c>
      <c r="O5">
        <f t="shared" si="7"/>
        <v>1.29049896</v>
      </c>
    </row>
    <row r="6">
      <c r="A6" s="14">
        <v>4.0</v>
      </c>
      <c r="B6" s="14">
        <v>12.0</v>
      </c>
      <c r="E6" s="16">
        <f t="shared" si="1"/>
        <v>17.50063439</v>
      </c>
      <c r="F6">
        <f t="shared" si="2"/>
        <v>45.83861992</v>
      </c>
      <c r="I6" s="16">
        <f t="shared" si="3"/>
        <v>8.342056405</v>
      </c>
      <c r="J6">
        <f t="shared" si="4"/>
        <v>-30.48286329</v>
      </c>
      <c r="M6">
        <f t="shared" si="5"/>
        <v>14.0479154</v>
      </c>
      <c r="N6">
        <f t="shared" si="6"/>
        <v>17.06596165</v>
      </c>
      <c r="O6">
        <f t="shared" si="7"/>
        <v>4.193957475</v>
      </c>
    </row>
    <row r="7">
      <c r="A7" s="14">
        <v>5.0</v>
      </c>
      <c r="B7" s="14">
        <v>18.7</v>
      </c>
      <c r="E7" s="16">
        <f t="shared" si="1"/>
        <v>19.84303135</v>
      </c>
      <c r="F7">
        <f t="shared" si="2"/>
        <v>6.112467128</v>
      </c>
      <c r="I7" s="16">
        <f t="shared" si="3"/>
        <v>12.66168435</v>
      </c>
      <c r="J7">
        <f t="shared" si="4"/>
        <v>-32.29045802</v>
      </c>
      <c r="M7">
        <f t="shared" si="5"/>
        <v>20.11234386</v>
      </c>
      <c r="N7">
        <f t="shared" si="6"/>
        <v>7.552640938</v>
      </c>
      <c r="O7">
        <f t="shared" si="7"/>
        <v>1.994715166</v>
      </c>
    </row>
    <row r="8">
      <c r="A8" s="14">
        <v>6.0</v>
      </c>
      <c r="B8" s="14">
        <v>21.3</v>
      </c>
      <c r="E8" s="16">
        <f t="shared" si="1"/>
        <v>20.94099157</v>
      </c>
      <c r="F8">
        <f t="shared" si="2"/>
        <v>-1.685485595</v>
      </c>
      <c r="I8" s="16">
        <f t="shared" si="3"/>
        <v>18.47738606</v>
      </c>
      <c r="J8">
        <f t="shared" si="4"/>
        <v>-13.25170863</v>
      </c>
      <c r="M8">
        <f t="shared" si="5"/>
        <v>21.97701738</v>
      </c>
      <c r="N8">
        <f t="shared" si="6"/>
        <v>3.17848535</v>
      </c>
      <c r="O8">
        <f t="shared" si="7"/>
        <v>0.4583525323</v>
      </c>
    </row>
    <row r="9">
      <c r="A9" s="14">
        <v>7.0</v>
      </c>
      <c r="B9" s="14">
        <v>21.6</v>
      </c>
      <c r="E9" s="16">
        <f t="shared" si="1"/>
        <v>21.3290297</v>
      </c>
      <c r="F9">
        <f t="shared" si="2"/>
        <v>-1.254492144</v>
      </c>
      <c r="I9" s="16">
        <f t="shared" si="3"/>
        <v>21.56804276</v>
      </c>
      <c r="J9">
        <f t="shared" si="4"/>
        <v>-0.1479501931</v>
      </c>
      <c r="M9">
        <f t="shared" si="5"/>
        <v>20.17413088</v>
      </c>
      <c r="N9">
        <f t="shared" si="6"/>
        <v>-6.601245942</v>
      </c>
      <c r="O9">
        <f t="shared" si="7"/>
        <v>2.033102757</v>
      </c>
    </row>
    <row r="10">
      <c r="A10" s="14">
        <v>8.0</v>
      </c>
      <c r="B10" s="13">
        <v>20.8</v>
      </c>
      <c r="E10" s="16">
        <f t="shared" si="1"/>
        <v>21.44684139</v>
      </c>
      <c r="F10">
        <f t="shared" si="2"/>
        <v>3.109814377</v>
      </c>
      <c r="I10" s="16">
        <f t="shared" si="3"/>
        <v>20.99730966</v>
      </c>
      <c r="J10">
        <f t="shared" si="4"/>
        <v>0.9486041113</v>
      </c>
      <c r="M10">
        <f t="shared" si="5"/>
        <v>21.93843565</v>
      </c>
      <c r="N10">
        <f t="shared" si="6"/>
        <v>5.4732483</v>
      </c>
      <c r="O10">
        <f t="shared" si="7"/>
        <v>1.296035721</v>
      </c>
    </row>
    <row r="11">
      <c r="A11" s="14">
        <v>9.0</v>
      </c>
      <c r="B11" s="14">
        <v>21.5</v>
      </c>
      <c r="E11" s="16">
        <f t="shared" si="1"/>
        <v>21.48061248</v>
      </c>
      <c r="F11">
        <f t="shared" si="2"/>
        <v>-0.09017451364</v>
      </c>
      <c r="I11" s="16">
        <f t="shared" si="3"/>
        <v>21.21833931</v>
      </c>
      <c r="J11">
        <f t="shared" si="4"/>
        <v>-1.310049742</v>
      </c>
      <c r="M11">
        <f t="shared" si="5"/>
        <v>20.22540877</v>
      </c>
      <c r="N11">
        <f t="shared" si="6"/>
        <v>-5.928331311</v>
      </c>
      <c r="O11">
        <f t="shared" si="7"/>
        <v>1.624582809</v>
      </c>
    </row>
    <row r="12">
      <c r="A12" s="14">
        <v>10.0</v>
      </c>
      <c r="B12" s="14">
        <v>20.6</v>
      </c>
      <c r="E12" s="16">
        <f t="shared" si="1"/>
        <v>21.49012148</v>
      </c>
      <c r="F12">
        <f t="shared" si="2"/>
        <v>4.320978065</v>
      </c>
      <c r="I12" s="16">
        <f t="shared" si="3"/>
        <v>21.13895517</v>
      </c>
      <c r="J12">
        <f t="shared" si="4"/>
        <v>2.61628723</v>
      </c>
      <c r="M12">
        <f t="shared" si="5"/>
        <v>21.90536338</v>
      </c>
      <c r="N12">
        <f t="shared" si="6"/>
        <v>6.336715424</v>
      </c>
      <c r="O12">
        <f t="shared" si="7"/>
        <v>1.703973547</v>
      </c>
    </row>
    <row r="13">
      <c r="A13" s="14" t="s">
        <v>42</v>
      </c>
      <c r="B13" s="14" t="s">
        <v>42</v>
      </c>
    </row>
    <row r="14">
      <c r="O14">
        <f>sum(O2:O12)</f>
        <v>15.26068067</v>
      </c>
    </row>
    <row r="17">
      <c r="A17" s="17"/>
      <c r="B17" s="9"/>
      <c r="C17" s="9"/>
      <c r="D17" s="9"/>
    </row>
    <row r="18">
      <c r="A18" s="17"/>
      <c r="B18" s="9"/>
      <c r="C18" s="9"/>
      <c r="D18" s="9"/>
    </row>
    <row r="19">
      <c r="A19" s="9"/>
      <c r="B19" s="18"/>
      <c r="C19" s="9"/>
      <c r="D19" s="18"/>
    </row>
    <row r="20">
      <c r="A20" s="9"/>
      <c r="B20" s="9"/>
      <c r="C20" s="9"/>
      <c r="D20" s="9"/>
    </row>
    <row r="21">
      <c r="A21" s="9"/>
      <c r="B21" s="9"/>
      <c r="C21" s="9"/>
      <c r="D21" s="9"/>
    </row>
    <row r="22">
      <c r="A22" s="9"/>
      <c r="B22" s="9"/>
      <c r="C22" s="9"/>
      <c r="D22" s="9"/>
    </row>
    <row r="23">
      <c r="A23" s="9"/>
      <c r="B23" s="9"/>
      <c r="C23" s="9"/>
      <c r="D23" s="9"/>
    </row>
    <row r="24">
      <c r="A24" s="9"/>
      <c r="B24" s="9"/>
      <c r="C24" s="9"/>
      <c r="D24" s="9"/>
    </row>
    <row r="25">
      <c r="A25" s="9"/>
      <c r="B25" s="9"/>
      <c r="C25" s="9"/>
      <c r="D25" s="9"/>
    </row>
    <row r="26">
      <c r="A26" s="19"/>
    </row>
    <row r="27">
      <c r="A27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0" t="s">
        <v>43</v>
      </c>
      <c r="D1" s="20" t="s">
        <v>44</v>
      </c>
      <c r="J1" s="21">
        <v>1.0</v>
      </c>
    </row>
    <row r="2">
      <c r="A2">
        <f>Min('problem 8'!O14)</f>
        <v>15.26068067</v>
      </c>
    </row>
    <row r="3">
      <c r="A3">
        <f>'problem 8'!L2</f>
        <v>4.053</v>
      </c>
    </row>
    <row r="4">
      <c r="A4" s="20" t="s">
        <v>45</v>
      </c>
    </row>
    <row r="6">
      <c r="A6" s="20" t="s">
        <v>46</v>
      </c>
    </row>
  </sheetData>
  <drawing r:id="rId1"/>
</worksheet>
</file>