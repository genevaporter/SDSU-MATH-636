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blem 1" sheetId="1" r:id="rId3"/>
    <sheet state="visible" name="Problem 2" sheetId="2" r:id="rId4"/>
    <sheet state="visible" name="Problem 3" sheetId="3" r:id="rId5"/>
    <sheet state="visible" name="Problem 4" sheetId="4" r:id="rId6"/>
    <sheet state="visible" name="Problem 5" sheetId="5" r:id="rId7"/>
    <sheet state="visible" name="Problem 6" sheetId="6" r:id="rId8"/>
  </sheets>
  <definedNames/>
  <calcPr/>
</workbook>
</file>

<file path=xl/sharedStrings.xml><?xml version="1.0" encoding="utf-8"?>
<sst xmlns="http://schemas.openxmlformats.org/spreadsheetml/2006/main" count="98" uniqueCount="80">
  <si>
    <t>Planet</t>
  </si>
  <si>
    <t>Island</t>
  </si>
  <si>
    <t>1 square foot, 1 inch thick</t>
  </si>
  <si>
    <t>Area (km^2)</t>
  </si>
  <si>
    <t>Species</t>
  </si>
  <si>
    <t>N=kA^a</t>
  </si>
  <si>
    <t>d = distance x 10^6</t>
  </si>
  <si>
    <t>p = period of revolution in days</t>
  </si>
  <si>
    <t>ln(d)</t>
  </si>
  <si>
    <t>ln(p)</t>
  </si>
  <si>
    <t>P=k*d^a</t>
  </si>
  <si>
    <t>d=(P/k)^(1/a)</t>
  </si>
  <si>
    <t>A=(N/k)^a</t>
  </si>
  <si>
    <t>ln(N)=m*ln(A)+K</t>
  </si>
  <si>
    <t>SSE</t>
  </si>
  <si>
    <t>percent error (n)</t>
  </si>
  <si>
    <t>percent error(A)</t>
  </si>
  <si>
    <t>Real P</t>
  </si>
  <si>
    <t>Real d</t>
  </si>
  <si>
    <t>Percent error</t>
  </si>
  <si>
    <t>Redunda</t>
  </si>
  <si>
    <t>Mercury</t>
  </si>
  <si>
    <t>d (in)</t>
  </si>
  <si>
    <t>h (ft)</t>
  </si>
  <si>
    <t>Volume (board ft)</t>
  </si>
  <si>
    <t>Earth</t>
  </si>
  <si>
    <t>V=m*d+b</t>
  </si>
  <si>
    <t>SSE V(d)</t>
  </si>
  <si>
    <t>V=k*h+c</t>
  </si>
  <si>
    <t>SSE V(h)</t>
  </si>
  <si>
    <t>V=Kd^A</t>
  </si>
  <si>
    <t>SSE V(d) exp</t>
  </si>
  <si>
    <t>Mars</t>
  </si>
  <si>
    <t>Jupiter</t>
  </si>
  <si>
    <t>Venus</t>
  </si>
  <si>
    <t>Saba</t>
  </si>
  <si>
    <t>Montserrat</t>
  </si>
  <si>
    <t>Puerto Rico</t>
  </si>
  <si>
    <t>P1</t>
  </si>
  <si>
    <t>Cuba</t>
  </si>
  <si>
    <t>La Croix</t>
  </si>
  <si>
    <t>Saturn</t>
  </si>
  <si>
    <t>D1</t>
  </si>
  <si>
    <t>Martinique</t>
  </si>
  <si>
    <t>Jamacia</t>
  </si>
  <si>
    <t>Hispaniola</t>
  </si>
  <si>
    <t>Uranus</t>
  </si>
  <si>
    <t>Double H</t>
  </si>
  <si>
    <t>P2</t>
  </si>
  <si>
    <t>a</t>
  </si>
  <si>
    <t>k</t>
  </si>
  <si>
    <t>Neptune</t>
  </si>
  <si>
    <t>ln(k)</t>
  </si>
  <si>
    <t>P3</t>
  </si>
  <si>
    <t>Place</t>
  </si>
  <si>
    <t>Actual Area</t>
  </si>
  <si>
    <t>Theoretical Area</t>
  </si>
  <si>
    <t>Jamaica</t>
  </si>
  <si>
    <t>Pluto</t>
  </si>
  <si>
    <t>D2</t>
  </si>
  <si>
    <t>Distance ()</t>
  </si>
  <si>
    <t>Period</t>
  </si>
  <si>
    <t>d.</t>
  </si>
  <si>
    <t>percent</t>
  </si>
  <si>
    <t>error</t>
  </si>
  <si>
    <t>t (weeks)</t>
  </si>
  <si>
    <t>W (kg)</t>
  </si>
  <si>
    <t>w (kg)</t>
  </si>
  <si>
    <t>f (g)</t>
  </si>
  <si>
    <t>m</t>
  </si>
  <si>
    <t>b</t>
  </si>
  <si>
    <t>c</t>
  </si>
  <si>
    <t>K</t>
  </si>
  <si>
    <t>A</t>
  </si>
  <si>
    <t>winning time t</t>
  </si>
  <si>
    <t>Number of men n</t>
  </si>
  <si>
    <t>W*v^3*p</t>
  </si>
  <si>
    <t>W=original power</t>
  </si>
  <si>
    <t>v increased 15%</t>
  </si>
  <si>
    <t>p decreased 14%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</si>
</sst>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##########"/>
  </numFmts>
  <fonts count="5">
    <font>
      <sz val="10.0"/>
      <color rgb="FF000000"/>
      <name val="Arial"/>
    </font>
    <font/>
    <font>
      <sz val="11.0"/>
      <color rgb="FF000000"/>
      <name val="&quot;Helvetica Neue&quot;"/>
    </font>
    <font>
      <sz val="11.0"/>
      <color rgb="FF000000"/>
      <name val="Arial"/>
    </font>
    <font>
      <sz val="12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2" fontId="2" numFmtId="164" xfId="0" applyAlignment="1" applyFont="1" applyNumberForma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2" fontId="2" numFmtId="164" xfId="0" applyFont="1" applyNumberFormat="1"/>
    <xf borderId="0" fillId="3" fontId="1" numFmtId="164" xfId="0" applyFill="1" applyFont="1" applyNumberFormat="1"/>
    <xf borderId="0" fillId="2" fontId="2" numFmtId="164" xfId="0" applyFont="1" applyNumberFormat="1"/>
    <xf borderId="0" fillId="2" fontId="3" numFmtId="164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57"/>
    <col customWidth="1" min="2" max="2" width="18.14"/>
    <col customWidth="1" min="3" max="3" width="26.86"/>
    <col customWidth="1" min="6" max="6" width="18.86"/>
    <col customWidth="1" min="7" max="7" width="15.71"/>
    <col customWidth="1" min="8" max="8" width="4.71"/>
    <col customWidth="1" min="9" max="9" width="8.0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6"/>
      <c r="I1" s="4" t="s">
        <v>17</v>
      </c>
      <c r="J1" s="4" t="s">
        <v>18</v>
      </c>
      <c r="K1" s="4" t="s">
        <v>19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8" t="s">
        <v>21</v>
      </c>
      <c r="B2" s="8">
        <v>57.9</v>
      </c>
      <c r="C2" s="8">
        <v>87.96</v>
      </c>
      <c r="D2" s="6">
        <f t="shared" ref="D2:E2" si="1">ln(B2)</f>
        <v>4.058717385</v>
      </c>
      <c r="E2" s="6">
        <f t="shared" si="1"/>
        <v>4.476882166</v>
      </c>
      <c r="F2" s="6"/>
      <c r="G2" s="6"/>
      <c r="H2" s="6"/>
      <c r="K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25</v>
      </c>
      <c r="B3" s="8">
        <v>149.6</v>
      </c>
      <c r="C3" s="8">
        <v>365.25</v>
      </c>
      <c r="D3" s="6">
        <f t="shared" ref="D3:E3" si="2">ln(B3)</f>
        <v>5.007965066</v>
      </c>
      <c r="E3" s="6">
        <f t="shared" si="2"/>
        <v>5.900582051</v>
      </c>
      <c r="F3" s="6"/>
      <c r="G3" s="6"/>
      <c r="H3" s="6"/>
      <c r="K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32</v>
      </c>
      <c r="B4" s="8">
        <v>227.9</v>
      </c>
      <c r="C4" s="8">
        <v>687.0</v>
      </c>
      <c r="D4" s="6">
        <f t="shared" ref="D4:E4" si="3">ln(B4)</f>
        <v>5.428906936</v>
      </c>
      <c r="E4" s="6">
        <f t="shared" si="3"/>
        <v>6.532334292</v>
      </c>
      <c r="F4" s="6"/>
      <c r="G4" s="6"/>
      <c r="H4" s="6"/>
      <c r="K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33</v>
      </c>
      <c r="B5" s="8">
        <v>778.3</v>
      </c>
      <c r="C5" s="8">
        <v>4337.0</v>
      </c>
      <c r="D5" s="6">
        <f t="shared" ref="D5:E5" si="4">ln(B5)</f>
        <v>6.657112054</v>
      </c>
      <c r="E5" s="6">
        <f t="shared" si="4"/>
        <v>8.374938144</v>
      </c>
      <c r="F5" s="6"/>
      <c r="G5" s="6"/>
      <c r="H5" s="6"/>
      <c r="K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/>
      <c r="B6" s="8"/>
      <c r="C6" s="8"/>
      <c r="D6" s="6"/>
      <c r="E6" s="6"/>
      <c r="F6" s="6"/>
      <c r="G6" s="6"/>
      <c r="H6" s="6"/>
      <c r="K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34</v>
      </c>
      <c r="B7" s="8">
        <v>108.2</v>
      </c>
      <c r="C7" s="11"/>
      <c r="D7" s="6"/>
      <c r="E7" s="8" t="s">
        <v>34</v>
      </c>
      <c r="F7" s="6">
        <f t="shared" ref="F7:F11" si="5">G$15*B7^G$17</f>
        <v>224.70099</v>
      </c>
      <c r="G7" s="6">
        <f t="shared" ref="G7:G11" si="6">(C7/G$15)^(1/G$17)</f>
        <v>0</v>
      </c>
      <c r="H7" s="4" t="s">
        <v>38</v>
      </c>
      <c r="I7" s="12">
        <f>224.7</f>
        <v>224.7</v>
      </c>
      <c r="J7" s="13"/>
      <c r="K7" s="6">
        <f>(F7-I7)/I7*100</f>
        <v>0.000440569267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41</v>
      </c>
      <c r="B8" s="11"/>
      <c r="C8" s="8">
        <v>10760.0</v>
      </c>
      <c r="D8" s="6"/>
      <c r="E8" s="8" t="s">
        <v>41</v>
      </c>
      <c r="F8" s="6">
        <f t="shared" si="5"/>
        <v>0</v>
      </c>
      <c r="G8" s="6">
        <f t="shared" si="6"/>
        <v>1426.310102</v>
      </c>
      <c r="H8" s="4" t="s">
        <v>42</v>
      </c>
      <c r="J8" s="4">
        <f>1426725400/(10^6)</f>
        <v>1426.7254</v>
      </c>
      <c r="K8" s="6">
        <f>(G8-J8)/J8*100</f>
        <v>-0.02910844534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46</v>
      </c>
      <c r="B9" s="8">
        <v>2871.0</v>
      </c>
      <c r="C9" s="11"/>
      <c r="D9" s="6"/>
      <c r="E9" s="8" t="s">
        <v>46</v>
      </c>
      <c r="F9" s="6">
        <f t="shared" si="5"/>
        <v>30732.84502</v>
      </c>
      <c r="G9" s="6">
        <f t="shared" si="6"/>
        <v>0</v>
      </c>
      <c r="H9" s="4" t="s">
        <v>48</v>
      </c>
      <c r="I9" s="6">
        <f>30685</f>
        <v>30685</v>
      </c>
      <c r="J9" s="6"/>
      <c r="K9" s="6">
        <f t="shared" ref="K9:K10" si="7">(F9-I9)/I9*100</f>
        <v>0.1559231644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51</v>
      </c>
      <c r="B10" s="8">
        <v>4497.0</v>
      </c>
      <c r="C10" s="11"/>
      <c r="D10" s="6"/>
      <c r="E10" s="8" t="s">
        <v>51</v>
      </c>
      <c r="F10" s="6">
        <f t="shared" si="5"/>
        <v>60252.74684</v>
      </c>
      <c r="G10" s="6">
        <f t="shared" si="6"/>
        <v>0</v>
      </c>
      <c r="H10" s="4" t="s">
        <v>53</v>
      </c>
      <c r="I10" s="6">
        <f>60190</f>
        <v>60190</v>
      </c>
      <c r="J10" s="6"/>
      <c r="K10" s="6">
        <f t="shared" si="7"/>
        <v>0.1042479549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58</v>
      </c>
      <c r="B11" s="11"/>
      <c r="C11" s="8">
        <v>90780.0</v>
      </c>
      <c r="D11" s="6"/>
      <c r="E11" s="8" t="s">
        <v>58</v>
      </c>
      <c r="F11" s="6">
        <f t="shared" si="5"/>
        <v>0</v>
      </c>
      <c r="G11" s="6">
        <f t="shared" si="6"/>
        <v>5909.930711</v>
      </c>
      <c r="H11" s="4" t="s">
        <v>59</v>
      </c>
      <c r="J11" s="13">
        <f>5906376200/(10^6)</f>
        <v>5906.3762</v>
      </c>
      <c r="K11" s="6">
        <f>(G11-J11)/J11*100</f>
        <v>0.06018091261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5"/>
      <c r="B13" s="6"/>
      <c r="C13" s="6"/>
      <c r="D13" s="6"/>
      <c r="E13" s="6"/>
      <c r="F13" s="4" t="s">
        <v>52</v>
      </c>
      <c r="G13" s="4">
        <f>0.199457954258043</f>
        <v>0.1994579543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4" t="s">
        <v>50</v>
      </c>
      <c r="G15" s="6">
        <f>   0.199457954475436
</f>
        <v>0.1994579545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4" t="s">
        <v>49</v>
      </c>
      <c r="G17" s="4">
        <v>1.50020289462201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8" t="s">
        <v>0</v>
      </c>
      <c r="F20" s="8" t="s">
        <v>60</v>
      </c>
      <c r="G20" s="8" t="s">
        <v>61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8" t="s">
        <v>34</v>
      </c>
      <c r="F21" s="8">
        <v>108.2</v>
      </c>
      <c r="G21" s="1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8" t="s">
        <v>41</v>
      </c>
      <c r="F22" s="11"/>
      <c r="G22" s="8">
        <v>10760.0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8" t="s">
        <v>46</v>
      </c>
      <c r="F23" s="8">
        <v>2871.0</v>
      </c>
      <c r="G23" s="1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8" t="s">
        <v>51</v>
      </c>
      <c r="F24" s="8">
        <v>4497.0</v>
      </c>
      <c r="G24" s="1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8" t="s">
        <v>58</v>
      </c>
      <c r="F25" s="11"/>
      <c r="G25" s="8">
        <v>90780.0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1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20" t="s">
        <v>62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7" width="18.0"/>
  </cols>
  <sheetData>
    <row r="1">
      <c r="A1" s="2" t="s">
        <v>1</v>
      </c>
      <c r="B1" s="3" t="s">
        <v>3</v>
      </c>
      <c r="C1" s="2" t="s">
        <v>4</v>
      </c>
      <c r="D1" s="5" t="s">
        <v>5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</row>
    <row r="2">
      <c r="A2" s="2" t="s">
        <v>20</v>
      </c>
      <c r="B2" s="2">
        <v>2.4</v>
      </c>
      <c r="C2" s="2">
        <v>3.0</v>
      </c>
      <c r="D2">
        <f t="shared" ref="D2:D12" si="1">B$18*B2^B$17</f>
        <v>3.607313422</v>
      </c>
      <c r="E2">
        <f t="shared" ref="E2:E12" si="2">(C2/B$18)^(1/B$17)</f>
        <v>1.296021528</v>
      </c>
      <c r="F2">
        <f t="shared" ref="F2:F6" si="3">B$17*ln(B2)+B$19</f>
        <v>1.282963291</v>
      </c>
      <c r="G2">
        <f t="shared" ref="G2:G6" si="4">(D2-C2)^2</f>
        <v>0.3688295925</v>
      </c>
      <c r="H2">
        <f t="shared" ref="H2:H6" si="5">(D2-C2)/C2*100</f>
        <v>20.24378073</v>
      </c>
      <c r="I2">
        <f t="shared" ref="I2:I6" si="6">(E2-B2)/B2</f>
        <v>-0.45999103</v>
      </c>
    </row>
    <row r="3">
      <c r="A3" s="2" t="s">
        <v>35</v>
      </c>
      <c r="B3" s="2">
        <v>13.4</v>
      </c>
      <c r="C3" s="2">
        <v>8.0</v>
      </c>
      <c r="D3">
        <f t="shared" si="1"/>
        <v>6.03456599</v>
      </c>
      <c r="E3">
        <f t="shared" si="2"/>
        <v>34.38412284</v>
      </c>
      <c r="F3">
        <f t="shared" si="3"/>
        <v>1.797503936</v>
      </c>
      <c r="G3">
        <f t="shared" si="4"/>
        <v>3.862930847</v>
      </c>
      <c r="H3">
        <f t="shared" si="5"/>
        <v>-24.56792512</v>
      </c>
      <c r="I3">
        <f t="shared" si="6"/>
        <v>1.565979316</v>
      </c>
    </row>
    <row r="4">
      <c r="A4" s="2" t="s">
        <v>36</v>
      </c>
      <c r="B4" s="2">
        <v>85.9</v>
      </c>
      <c r="C4" s="2">
        <v>10.0</v>
      </c>
      <c r="D4">
        <f t="shared" si="1"/>
        <v>10.52102317</v>
      </c>
      <c r="E4">
        <f t="shared" si="2"/>
        <v>72.48818261</v>
      </c>
      <c r="F4">
        <f t="shared" si="3"/>
        <v>2.353375462</v>
      </c>
      <c r="G4">
        <f t="shared" si="4"/>
        <v>0.2714651398</v>
      </c>
      <c r="H4">
        <f t="shared" si="5"/>
        <v>5.210231662</v>
      </c>
      <c r="I4">
        <f t="shared" si="6"/>
        <v>-0.156132915</v>
      </c>
    </row>
    <row r="5">
      <c r="A5" s="2" t="s">
        <v>37</v>
      </c>
      <c r="B5" s="2">
        <v>8892.0</v>
      </c>
      <c r="C5" s="2">
        <v>39.0</v>
      </c>
      <c r="D5">
        <f t="shared" si="1"/>
        <v>42.16239053</v>
      </c>
      <c r="E5">
        <f t="shared" si="2"/>
        <v>6852.11567</v>
      </c>
      <c r="F5">
        <f t="shared" si="3"/>
        <v>3.741528604</v>
      </c>
      <c r="G5">
        <f t="shared" si="4"/>
        <v>10.00071384</v>
      </c>
      <c r="H5">
        <f t="shared" si="5"/>
        <v>8.108693656</v>
      </c>
      <c r="I5">
        <f t="shared" si="6"/>
        <v>-0.2294066948</v>
      </c>
    </row>
    <row r="6">
      <c r="A6" s="2" t="s">
        <v>39</v>
      </c>
      <c r="B6" s="2">
        <v>121042.0</v>
      </c>
      <c r="C6" s="2">
        <v>95.0</v>
      </c>
      <c r="D6">
        <f t="shared" si="1"/>
        <v>92.08445712</v>
      </c>
      <c r="E6">
        <f t="shared" si="2"/>
        <v>134332.9916</v>
      </c>
      <c r="F6">
        <f t="shared" si="3"/>
        <v>4.522706168</v>
      </c>
      <c r="G6">
        <f t="shared" si="4"/>
        <v>8.500390282</v>
      </c>
      <c r="H6">
        <f t="shared" si="5"/>
        <v>-3.068992505</v>
      </c>
      <c r="I6">
        <f t="shared" si="6"/>
        <v>0.1098047918</v>
      </c>
    </row>
    <row r="7">
      <c r="D7">
        <f t="shared" si="1"/>
        <v>0</v>
      </c>
      <c r="E7">
        <f t="shared" si="2"/>
        <v>0</v>
      </c>
      <c r="G7">
        <f>SUM(G2:G6)</f>
        <v>23.0043297</v>
      </c>
    </row>
    <row r="8">
      <c r="A8" s="5" t="s">
        <v>40</v>
      </c>
      <c r="B8" s="5">
        <v>214.0</v>
      </c>
      <c r="C8" s="5">
        <v>11.0</v>
      </c>
      <c r="D8">
        <f t="shared" si="1"/>
        <v>13.82491821</v>
      </c>
      <c r="E8">
        <f t="shared" si="2"/>
        <v>99.68204545</v>
      </c>
      <c r="H8">
        <f t="shared" ref="H8:H11" si="7">(D8-C8)/C8*100</f>
        <v>25.68107465</v>
      </c>
      <c r="I8">
        <f t="shared" ref="I8:I11" si="8">(E8-B8)/B8*100</f>
        <v>-53.41960493</v>
      </c>
    </row>
    <row r="9">
      <c r="A9" s="5" t="s">
        <v>43</v>
      </c>
      <c r="B9" s="5">
        <v>1123.0</v>
      </c>
      <c r="C9" s="5">
        <v>29.0</v>
      </c>
      <c r="D9">
        <f t="shared" si="1"/>
        <v>22.70221886</v>
      </c>
      <c r="E9">
        <f t="shared" si="2"/>
        <v>2545.499894</v>
      </c>
      <c r="H9">
        <f t="shared" si="7"/>
        <v>-21.71648668</v>
      </c>
      <c r="I9">
        <f t="shared" si="8"/>
        <v>126.6696255</v>
      </c>
    </row>
    <row r="10">
      <c r="A10" s="5" t="s">
        <v>44</v>
      </c>
      <c r="B10" s="5">
        <v>11414.0</v>
      </c>
      <c r="C10" s="5">
        <v>39.0</v>
      </c>
      <c r="D10">
        <f t="shared" si="1"/>
        <v>45.43272459</v>
      </c>
      <c r="E10">
        <f t="shared" si="2"/>
        <v>6852.11567</v>
      </c>
      <c r="H10">
        <f t="shared" si="7"/>
        <v>16.49416561</v>
      </c>
      <c r="I10">
        <f t="shared" si="8"/>
        <v>-39.96744638</v>
      </c>
    </row>
    <row r="11">
      <c r="A11" s="5" t="s">
        <v>45</v>
      </c>
      <c r="B11" s="5">
        <v>76497.0</v>
      </c>
      <c r="C11" s="5">
        <v>87.0</v>
      </c>
      <c r="D11">
        <f t="shared" si="1"/>
        <v>80.27133719</v>
      </c>
      <c r="E11">
        <f t="shared" si="2"/>
        <v>100112.7863</v>
      </c>
      <c r="H11">
        <f t="shared" si="7"/>
        <v>-7.734095189</v>
      </c>
      <c r="I11">
        <f t="shared" si="8"/>
        <v>30.87151951</v>
      </c>
    </row>
    <row r="12">
      <c r="A12" s="5" t="s">
        <v>47</v>
      </c>
      <c r="C12">
        <f>C11*2</f>
        <v>174</v>
      </c>
      <c r="D12">
        <f t="shared" si="1"/>
        <v>0</v>
      </c>
      <c r="E12">
        <f t="shared" si="2"/>
        <v>1015415.094</v>
      </c>
    </row>
    <row r="14">
      <c r="E14">
        <f>E12/E11</f>
        <v>10.14271136</v>
      </c>
    </row>
    <row r="17">
      <c r="A17" s="5" t="s">
        <v>49</v>
      </c>
      <c r="B17" s="5">
        <v>0.299188768102544</v>
      </c>
    </row>
    <row r="18">
      <c r="A18" s="5" t="s">
        <v>50</v>
      </c>
      <c r="B18" s="5">
        <f>2.77606061505143
</f>
        <v>2.776060615</v>
      </c>
    </row>
    <row r="19">
      <c r="A19" s="5" t="s">
        <v>52</v>
      </c>
      <c r="B19">
        <f>ln(B18)</f>
        <v>1.021032878</v>
      </c>
    </row>
    <row r="23">
      <c r="A23" s="5" t="s">
        <v>54</v>
      </c>
      <c r="B23" s="5" t="s">
        <v>55</v>
      </c>
      <c r="C23" s="5" t="s">
        <v>56</v>
      </c>
    </row>
    <row r="24">
      <c r="A24" s="5" t="s">
        <v>57</v>
      </c>
      <c r="B24" s="5">
        <v>11414.0</v>
      </c>
      <c r="C24" s="5">
        <v>6852.0</v>
      </c>
    </row>
    <row r="25">
      <c r="A25" s="5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2.86"/>
  </cols>
  <sheetData>
    <row r="1">
      <c r="A1" s="1"/>
      <c r="B1" s="1"/>
      <c r="C1" s="7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22</v>
      </c>
      <c r="B2" s="9" t="s">
        <v>23</v>
      </c>
      <c r="C2" s="10" t="s">
        <v>24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8.6</v>
      </c>
      <c r="B3" s="10">
        <v>65.0</v>
      </c>
      <c r="C3" s="10">
        <v>10.3</v>
      </c>
      <c r="D3" s="1">
        <f t="shared" ref="D3:D13" si="1">B$22*A3+B$23</f>
        <v>5.068352109</v>
      </c>
      <c r="E3" s="1">
        <f t="shared" ref="E3:E13" si="2">(D3-C3)^2</f>
        <v>27.37013966</v>
      </c>
      <c r="F3" s="1">
        <f t="shared" ref="F3:F13" si="3">B$25*B3+B$26</f>
        <v>11.78979344</v>
      </c>
      <c r="G3" s="1">
        <f t="shared" ref="G3:G13" si="4">(F3-C3)^2</f>
        <v>2.21948449</v>
      </c>
      <c r="H3" s="1">
        <f t="shared" ref="H3:H16" si="5">B$28*A3^B$29</f>
        <v>10.47486001</v>
      </c>
      <c r="I3" s="1">
        <f t="shared" ref="I3:I13" si="6">(H3-C3)^2</f>
        <v>0.0305760218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>
        <v>10.5</v>
      </c>
      <c r="B4" s="10">
        <v>82.0</v>
      </c>
      <c r="C4" s="10">
        <v>18.9</v>
      </c>
      <c r="D4" s="1">
        <f t="shared" si="1"/>
        <v>15.34997802</v>
      </c>
      <c r="E4" s="1">
        <f t="shared" si="2"/>
        <v>12.60265607</v>
      </c>
      <c r="F4" s="1">
        <f t="shared" si="3"/>
        <v>40.56138113</v>
      </c>
      <c r="G4" s="1">
        <f t="shared" si="4"/>
        <v>469.2154323</v>
      </c>
      <c r="H4" s="1">
        <f t="shared" si="5"/>
        <v>16.41218251</v>
      </c>
      <c r="I4" s="1">
        <f t="shared" si="6"/>
        <v>6.189235868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11.0</v>
      </c>
      <c r="B5" s="10">
        <v>76.0</v>
      </c>
      <c r="C5" s="10">
        <v>18.1</v>
      </c>
      <c r="D5" s="1">
        <f t="shared" si="1"/>
        <v>18.05566905</v>
      </c>
      <c r="E5" s="1">
        <f t="shared" si="2"/>
        <v>0.00196523331</v>
      </c>
      <c r="F5" s="1">
        <f t="shared" si="3"/>
        <v>30.40670312</v>
      </c>
      <c r="G5" s="1">
        <f t="shared" si="4"/>
        <v>151.4549417</v>
      </c>
      <c r="H5" s="1">
        <f t="shared" si="5"/>
        <v>18.22281631</v>
      </c>
      <c r="I5" s="1">
        <f t="shared" si="6"/>
        <v>0.01508384608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11.5</v>
      </c>
      <c r="B6" s="10">
        <v>73.0</v>
      </c>
      <c r="C6" s="10">
        <v>21.2</v>
      </c>
      <c r="D6" s="1">
        <f t="shared" si="1"/>
        <v>20.76136008</v>
      </c>
      <c r="E6" s="1">
        <f t="shared" si="2"/>
        <v>0.1924049821</v>
      </c>
      <c r="F6" s="1">
        <f t="shared" si="3"/>
        <v>25.32936412</v>
      </c>
      <c r="G6" s="1">
        <f t="shared" si="4"/>
        <v>17.05164799</v>
      </c>
      <c r="H6" s="1">
        <f t="shared" si="5"/>
        <v>20.13928341</v>
      </c>
      <c r="I6" s="1">
        <f t="shared" si="6"/>
        <v>1.125119681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12.1</v>
      </c>
      <c r="B7" s="10">
        <v>78.0</v>
      </c>
      <c r="C7" s="10">
        <v>18.8</v>
      </c>
      <c r="D7" s="1">
        <f t="shared" si="1"/>
        <v>24.00818931</v>
      </c>
      <c r="E7" s="1">
        <f t="shared" si="2"/>
        <v>27.12523591</v>
      </c>
      <c r="F7" s="1">
        <f t="shared" si="3"/>
        <v>33.79159579</v>
      </c>
      <c r="G7" s="1">
        <f t="shared" si="4"/>
        <v>224.7479443</v>
      </c>
      <c r="H7" s="1">
        <f t="shared" si="5"/>
        <v>22.58040401</v>
      </c>
      <c r="I7" s="1">
        <f t="shared" si="6"/>
        <v>14.29145445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13.5</v>
      </c>
      <c r="B8" s="10">
        <v>88.0</v>
      </c>
      <c r="C8" s="10">
        <v>27.3</v>
      </c>
      <c r="D8" s="1">
        <f t="shared" si="1"/>
        <v>31.58412419</v>
      </c>
      <c r="E8" s="1">
        <f t="shared" si="2"/>
        <v>18.3537201</v>
      </c>
      <c r="F8" s="1">
        <f t="shared" si="3"/>
        <v>50.71605913</v>
      </c>
      <c r="G8" s="1">
        <f t="shared" si="4"/>
        <v>548.3118253</v>
      </c>
      <c r="H8" s="1">
        <f t="shared" si="5"/>
        <v>28.8865513</v>
      </c>
      <c r="I8" s="1">
        <f t="shared" si="6"/>
        <v>2.517145032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14.5</v>
      </c>
      <c r="B9" s="10">
        <v>74.0</v>
      </c>
      <c r="C9" s="10">
        <v>36.5</v>
      </c>
      <c r="D9" s="1">
        <f t="shared" si="1"/>
        <v>36.99550625</v>
      </c>
      <c r="E9" s="1">
        <f t="shared" si="2"/>
        <v>0.2455264446</v>
      </c>
      <c r="F9" s="1">
        <f t="shared" si="3"/>
        <v>27.02181045</v>
      </c>
      <c r="G9" s="1">
        <f t="shared" si="4"/>
        <v>89.83607715</v>
      </c>
      <c r="H9" s="1">
        <f t="shared" si="5"/>
        <v>33.92420879</v>
      </c>
      <c r="I9" s="1">
        <f t="shared" si="6"/>
        <v>6.634700344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15.9</v>
      </c>
      <c r="B10" s="10">
        <v>75.0</v>
      </c>
      <c r="C10" s="10">
        <v>38.6</v>
      </c>
      <c r="D10" s="1">
        <f t="shared" si="1"/>
        <v>44.57144113</v>
      </c>
      <c r="E10" s="1">
        <f t="shared" si="2"/>
        <v>35.65810919</v>
      </c>
      <c r="F10" s="1">
        <f t="shared" si="3"/>
        <v>28.71425678</v>
      </c>
      <c r="G10" s="1">
        <f t="shared" si="4"/>
        <v>97.72791893</v>
      </c>
      <c r="H10" s="1">
        <f t="shared" si="5"/>
        <v>41.74058122</v>
      </c>
      <c r="I10" s="1">
        <f t="shared" si="6"/>
        <v>9.863250371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17.2</v>
      </c>
      <c r="B11" s="10">
        <v>81.0</v>
      </c>
      <c r="C11" s="10">
        <v>55.4</v>
      </c>
      <c r="D11" s="1">
        <f t="shared" si="1"/>
        <v>51.60623781</v>
      </c>
      <c r="E11" s="1">
        <f t="shared" si="2"/>
        <v>14.39263157</v>
      </c>
      <c r="F11" s="1">
        <f t="shared" si="3"/>
        <v>38.86893479</v>
      </c>
      <c r="G11" s="1">
        <f t="shared" si="4"/>
        <v>273.2761169</v>
      </c>
      <c r="H11" s="1">
        <f t="shared" si="5"/>
        <v>49.81265352</v>
      </c>
      <c r="I11" s="1">
        <f t="shared" si="6"/>
        <v>31.21844068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>
        <v>18.1</v>
      </c>
      <c r="B12" s="10">
        <v>79.0</v>
      </c>
      <c r="C12" s="10">
        <v>51.8</v>
      </c>
      <c r="D12" s="1">
        <f t="shared" si="1"/>
        <v>56.47648166</v>
      </c>
      <c r="E12" s="1">
        <f t="shared" si="2"/>
        <v>21.86948071</v>
      </c>
      <c r="F12" s="1">
        <f t="shared" si="3"/>
        <v>35.48404212</v>
      </c>
      <c r="G12" s="1">
        <f t="shared" si="4"/>
        <v>266.2104815</v>
      </c>
      <c r="H12" s="1">
        <f t="shared" si="5"/>
        <v>55.86865176</v>
      </c>
      <c r="I12" s="1">
        <f t="shared" si="6"/>
        <v>16.55392712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20.4</v>
      </c>
      <c r="B13" s="10">
        <v>88.0</v>
      </c>
      <c r="C13" s="10">
        <v>76.5</v>
      </c>
      <c r="D13" s="1">
        <f t="shared" si="1"/>
        <v>68.92266039</v>
      </c>
      <c r="E13" s="1">
        <f t="shared" si="2"/>
        <v>57.41607552</v>
      </c>
      <c r="F13" s="1">
        <f t="shared" si="3"/>
        <v>50.71605913</v>
      </c>
      <c r="G13" s="1">
        <f t="shared" si="4"/>
        <v>664.8116066</v>
      </c>
      <c r="H13" s="1">
        <f t="shared" si="5"/>
        <v>73.12022552</v>
      </c>
      <c r="I13" s="1">
        <f t="shared" si="6"/>
        <v>11.42287554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"/>
      <c r="C14" s="1"/>
      <c r="D14" s="1"/>
      <c r="E14" s="17">
        <f>SUM(E3:E13)</f>
        <v>215.2279454</v>
      </c>
      <c r="F14" s="1"/>
      <c r="G14" s="17">
        <f>SUM(G3:G13)</f>
        <v>2804.863477</v>
      </c>
      <c r="H14" s="1">
        <f t="shared" si="5"/>
        <v>0</v>
      </c>
      <c r="I14" s="1">
        <f>SUM(I3:I13)</f>
        <v>99.86180896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9">
        <v>11.5</v>
      </c>
      <c r="B15" s="7">
        <v>73.0</v>
      </c>
      <c r="C15" s="7">
        <v>21.2</v>
      </c>
      <c r="D15" s="1">
        <f>B$22*A15+B$23</f>
        <v>20.76136008</v>
      </c>
      <c r="E15" s="1"/>
      <c r="F15" s="1">
        <f>B$25*B15+B$26</f>
        <v>25.32936412</v>
      </c>
      <c r="G15" s="1"/>
      <c r="H15" s="1">
        <f t="shared" si="5"/>
        <v>20.13928341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B16" s="5"/>
      <c r="C16" s="7"/>
      <c r="D16" s="1"/>
      <c r="E16" s="1"/>
      <c r="F16" s="1"/>
      <c r="G16" s="1"/>
      <c r="H16" s="1">
        <f t="shared" si="5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B17" s="5" t="s">
        <v>63</v>
      </c>
      <c r="C17" s="7" t="s">
        <v>64</v>
      </c>
      <c r="D17" s="1">
        <f>(D15-C15)/C15*100</f>
        <v>-2.069056241</v>
      </c>
      <c r="E17" s="1"/>
      <c r="F17" s="1">
        <f>(F15-C15)/C15*100</f>
        <v>19.47813262</v>
      </c>
      <c r="G17" s="1"/>
      <c r="H17" s="1">
        <f>(H15-C15)/C15*100</f>
        <v>-5.003380134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 t="s">
        <v>69</v>
      </c>
      <c r="B22" s="7">
        <v>5.41138205797499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70</v>
      </c>
      <c r="B23" s="7">
        <v>-41.4695335897788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 t="s">
        <v>50</v>
      </c>
      <c r="B25" s="7">
        <v>1.6924463345484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 t="s">
        <v>71</v>
      </c>
      <c r="B26" s="7">
        <v>-98.2192183070068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72</v>
      </c>
      <c r="B28" s="7">
        <v>0.082778582297831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 t="s">
        <v>73</v>
      </c>
      <c r="B29" s="7">
        <v>2.24958130261004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2" t="s">
        <v>65</v>
      </c>
      <c r="B2" s="3" t="s">
        <v>66</v>
      </c>
      <c r="C2" s="3" t="s">
        <v>67</v>
      </c>
      <c r="D2" s="3" t="s">
        <v>68</v>
      </c>
    </row>
    <row r="3">
      <c r="A3" s="2">
        <v>3.0</v>
      </c>
      <c r="B3" s="2">
        <v>0.4</v>
      </c>
      <c r="C3" s="2">
        <v>0.3</v>
      </c>
      <c r="D3" s="2">
        <v>20.0</v>
      </c>
    </row>
    <row r="4">
      <c r="A4" s="2">
        <v>6.0</v>
      </c>
      <c r="B4" s="2">
        <v>0.8</v>
      </c>
      <c r="C4" s="2">
        <v>0.5</v>
      </c>
      <c r="D4" s="2">
        <v>30.0</v>
      </c>
    </row>
    <row r="5">
      <c r="A5" s="2">
        <v>20.0</v>
      </c>
      <c r="B5" s="2">
        <v>2.1</v>
      </c>
      <c r="C5" s="2">
        <v>1.0</v>
      </c>
      <c r="D5" s="2">
        <v>50.0</v>
      </c>
    </row>
    <row r="6">
      <c r="A6" s="2">
        <v>30.0</v>
      </c>
      <c r="B6" s="2">
        <v>3.8</v>
      </c>
      <c r="C6" s="2">
        <v>2.0</v>
      </c>
      <c r="D6" s="2">
        <v>80.0</v>
      </c>
    </row>
    <row r="7">
      <c r="A7" s="2">
        <v>50.0</v>
      </c>
      <c r="B7" s="2">
        <v>5.6</v>
      </c>
      <c r="C7" s="2">
        <v>4.0</v>
      </c>
      <c r="D7" s="2">
        <v>130.0</v>
      </c>
    </row>
    <row r="8">
      <c r="A8" s="2">
        <v>100.0</v>
      </c>
      <c r="B8" s="2">
        <v>6.4</v>
      </c>
      <c r="C8" s="2">
        <v>8.0</v>
      </c>
      <c r="D8" s="2">
        <v>200.0</v>
      </c>
    </row>
    <row r="9">
      <c r="A9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7.57"/>
  </cols>
  <sheetData>
    <row r="1">
      <c r="A1" s="5" t="s">
        <v>74</v>
      </c>
      <c r="B1" s="5" t="s">
        <v>75</v>
      </c>
    </row>
    <row r="2">
      <c r="A2">
        <f>6*60+3.2</f>
        <v>363.2</v>
      </c>
      <c r="B2" s="5">
        <v>8.0</v>
      </c>
    </row>
    <row r="3">
      <c r="A3">
        <f>60*6+29.4</f>
        <v>389.4</v>
      </c>
      <c r="B3" s="5">
        <v>4.0</v>
      </c>
    </row>
    <row r="5">
      <c r="A5" s="5" t="s">
        <v>50</v>
      </c>
      <c r="B5" s="5">
        <f>4.4760627043752*100</f>
        <v>447.6062704</v>
      </c>
    </row>
    <row r="6">
      <c r="A6" s="5" t="s">
        <v>49</v>
      </c>
      <c r="B6" s="5">
        <v>-0.10048868142938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5" t="s">
        <v>76</v>
      </c>
      <c r="B1">
        <f>30*1.15^3*0.86</f>
        <v>39.238575</v>
      </c>
    </row>
    <row r="2">
      <c r="A2" s="5" t="s">
        <v>77</v>
      </c>
    </row>
    <row r="3">
      <c r="A3" s="5" t="s">
        <v>78</v>
      </c>
    </row>
    <row r="4">
      <c r="A4" s="5" t="s">
        <v>79</v>
      </c>
    </row>
  </sheetData>
  <drawing r:id="rId1"/>
</worksheet>
</file>