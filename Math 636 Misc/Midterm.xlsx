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3" sheetId="1" r:id="rId3"/>
    <sheet state="hidden" name="__Solver__" sheetId="2" r:id="rId4"/>
  </sheets>
  <definedNames/>
  <calcPr/>
</workbook>
</file>

<file path=xl/sharedStrings.xml><?xml version="1.0" encoding="utf-8"?>
<sst xmlns="http://schemas.openxmlformats.org/spreadsheetml/2006/main" count="14" uniqueCount="12">
  <si>
    <t>C(0) =</t>
  </si>
  <si>
    <t>20189241540430490573</t>
  </si>
  <si>
    <t>0FayjcLcIFEtXcut</t>
  </si>
  <si>
    <t>t</t>
  </si>
  <si>
    <t>c data</t>
  </si>
  <si>
    <t>c sim</t>
  </si>
  <si>
    <t>SSE</t>
  </si>
  <si>
    <t>% error</t>
  </si>
  <si>
    <t>a =</t>
  </si>
  <si>
    <t>u =</t>
  </si>
  <si>
    <t>dxQm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</si>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</sst>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6.86"/>
    <col customWidth="1" min="2" max="2" width="8.0"/>
    <col customWidth="1" min="3" max="3" width="14.43"/>
    <col customWidth="1" min="4" max="4" width="3.57"/>
    <col customWidth="1" min="5" max="5" width="9.86"/>
    <col customWidth="1" min="6" max="6" width="11.14"/>
  </cols>
  <sheetData>
    <row r="1">
      <c r="A1" s="1" t="s">
        <v>0</v>
      </c>
      <c r="B1">
        <f>E2</f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>
        <f>E4/2</f>
        <v>1.155</v>
      </c>
      <c r="D2" s="1">
        <v>0.0</v>
      </c>
      <c r="E2" s="1">
        <v>0.0</v>
      </c>
      <c r="F2" s="1">
        <f>E2</f>
        <v>0</v>
      </c>
      <c r="G2">
        <f t="shared" ref="G2:G7" si="1">(E2-F2)^2</f>
        <v>0</v>
      </c>
      <c r="H2">
        <f>(F2-E2)/1</f>
        <v>0</v>
      </c>
    </row>
    <row r="3">
      <c r="A3" s="1" t="s">
        <v>9</v>
      </c>
      <c r="B3">
        <f>E3</f>
        <v>1.87</v>
      </c>
      <c r="D3" s="1">
        <v>1.0</v>
      </c>
      <c r="E3" s="1">
        <v>1.87</v>
      </c>
      <c r="F3">
        <f t="shared" ref="F3:F7" si="2">F2*$B$2+$B$3</f>
        <v>1.87</v>
      </c>
      <c r="G3">
        <f t="shared" si="1"/>
        <v>0</v>
      </c>
      <c r="H3">
        <f t="shared" ref="H3:H7" si="3">(F3-E3)/E3</f>
        <v>0</v>
      </c>
    </row>
    <row r="4">
      <c r="D4" s="1">
        <v>2.0</v>
      </c>
      <c r="E4" s="1">
        <v>2.31</v>
      </c>
      <c r="F4">
        <f t="shared" si="2"/>
        <v>4.02985</v>
      </c>
      <c r="G4">
        <f t="shared" si="1"/>
        <v>2.957884023</v>
      </c>
      <c r="H4">
        <f t="shared" si="3"/>
        <v>0.7445238095</v>
      </c>
    </row>
    <row r="5">
      <c r="D5" s="1">
        <v>3.0</v>
      </c>
      <c r="E5" s="1">
        <v>2.47</v>
      </c>
      <c r="F5">
        <f t="shared" si="2"/>
        <v>6.52447675</v>
      </c>
      <c r="G5">
        <f t="shared" si="1"/>
        <v>16.43878172</v>
      </c>
      <c r="H5">
        <f t="shared" si="3"/>
        <v>1.641488563</v>
      </c>
    </row>
    <row r="6">
      <c r="D6" s="1">
        <v>4.0</v>
      </c>
      <c r="E6" s="1">
        <v>2.52</v>
      </c>
      <c r="F6">
        <f t="shared" si="2"/>
        <v>9.405770646</v>
      </c>
      <c r="G6">
        <f t="shared" si="1"/>
        <v>47.41383739</v>
      </c>
      <c r="H6">
        <f t="shared" si="3"/>
        <v>2.732448669</v>
      </c>
    </row>
    <row r="7">
      <c r="D7" s="1">
        <v>5.0</v>
      </c>
      <c r="E7" s="1">
        <v>2.55</v>
      </c>
      <c r="F7">
        <f t="shared" si="2"/>
        <v>12.7336651</v>
      </c>
      <c r="G7">
        <f t="shared" si="1"/>
        <v>103.7070348</v>
      </c>
      <c r="H7">
        <f t="shared" si="3"/>
        <v>3.993594155</v>
      </c>
    </row>
    <row r="9">
      <c r="G9">
        <f>SUM(G2:G7)</f>
        <v>170.5175379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1</v>
      </c>
      <c r="D1" s="2" t="s">
        <v>2</v>
      </c>
      <c r="J1" s="3">
        <v>1.0</v>
      </c>
    </row>
    <row r="2">
      <c r="A2" t="str">
        <f>Min(Sheet1!G19)</f>
        <v>#REF!</v>
      </c>
      <c r="B2">
        <f>Min('Problem 3'!$G$9)</f>
        <v>170.5175379</v>
      </c>
    </row>
    <row r="3">
      <c r="A3" t="str">
        <f>'Sheet1'!e2, b21, b22</f>
        <v>#ERROR!</v>
      </c>
      <c r="B3" t="str">
        <f>'Problem 3'!$B$1:Z3</f>
        <v>#VALUE!</v>
      </c>
    </row>
    <row r="4">
      <c r="A4" s="2" t="s">
        <v>10</v>
      </c>
      <c r="B4" s="2" t="s">
        <v>10</v>
      </c>
    </row>
    <row r="6">
      <c r="A6" s="2" t="s">
        <v>11</v>
      </c>
      <c r="B6" s="2" t="s">
        <v>11</v>
      </c>
    </row>
  </sheetData>
  <drawing r:id="rId1"/>
</worksheet>
</file>